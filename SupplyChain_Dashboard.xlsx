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4c5d12be613ef42/Desktop/BA Projects/files/"/>
    </mc:Choice>
  </mc:AlternateContent>
  <xr:revisionPtr revIDLastSave="5" documentId="11_6DEAA04CBDF9F43B5C7D5C5F41D6D99C197F1129" xr6:coauthVersionLast="47" xr6:coauthVersionMax="47" xr10:uidLastSave="{D1F0F6D7-02F9-4613-95A4-6B3C945AF2C3}"/>
  <bookViews>
    <workbookView xWindow="-108" yWindow="-108" windowWidth="23256" windowHeight="12456" tabRatio="500" firstSheet="3" activeTab="5" xr2:uid="{00000000-000D-0000-FFFF-FFFF00000000}"/>
  </bookViews>
  <sheets>
    <sheet name="1_Executive_Overview" sheetId="1" r:id="rId1"/>
    <sheet name="2_Product_Performance" sheetId="2" r:id="rId2"/>
    <sheet name="3_Inventory_Supplier" sheetId="3" r:id="rId3"/>
    <sheet name="4_Manufacturing_Quality" sheetId="4" r:id="rId4"/>
    <sheet name="5_Logistics_Transportation" sheetId="5" r:id="rId5"/>
    <sheet name="Cleaned_Data" sheetId="6" r:id="rId6"/>
  </sheets>
  <definedNames>
    <definedName name="_xlnm._FilterDatabase" localSheetId="5" hidden="1">Cleaned_Data!$A$1:$AD$101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2" i="6"/>
  <c r="Z101" i="6"/>
  <c r="Z100" i="6"/>
  <c r="Z99" i="6"/>
  <c r="Z98" i="6"/>
  <c r="Z97" i="6"/>
  <c r="Z96" i="6"/>
  <c r="Z95" i="6"/>
  <c r="Z94" i="6"/>
  <c r="Z93" i="6"/>
  <c r="Z92" i="6"/>
  <c r="Z91" i="6"/>
  <c r="Z90" i="6"/>
  <c r="Z89" i="6"/>
  <c r="Z88" i="6"/>
  <c r="Z87" i="6"/>
  <c r="Z86" i="6"/>
  <c r="Z85" i="6"/>
  <c r="Z84" i="6"/>
  <c r="Z83" i="6"/>
  <c r="Z82" i="6"/>
  <c r="Z81" i="6"/>
  <c r="Z80" i="6"/>
  <c r="Z79" i="6"/>
  <c r="Z78" i="6"/>
  <c r="Z77" i="6"/>
  <c r="Z76" i="6"/>
  <c r="Z75" i="6"/>
  <c r="Z74" i="6"/>
  <c r="Z73" i="6"/>
  <c r="Z72" i="6"/>
  <c r="Z71" i="6"/>
  <c r="Z70" i="6"/>
  <c r="Z69" i="6"/>
  <c r="Z68" i="6"/>
  <c r="Z67" i="6"/>
  <c r="Z66" i="6"/>
  <c r="Z65" i="6"/>
  <c r="Z64" i="6"/>
  <c r="Z63" i="6"/>
  <c r="Z62" i="6"/>
  <c r="Z61" i="6"/>
  <c r="Z60" i="6"/>
  <c r="Z59" i="6"/>
  <c r="Z58" i="6"/>
  <c r="Z57" i="6"/>
  <c r="Z56" i="6"/>
  <c r="Z55" i="6"/>
  <c r="Z54" i="6"/>
  <c r="Z53" i="6"/>
  <c r="Z52" i="6"/>
  <c r="Z51" i="6"/>
  <c r="Z50" i="6"/>
  <c r="Z49" i="6"/>
  <c r="Z48" i="6"/>
  <c r="Z47" i="6"/>
  <c r="Z46" i="6"/>
  <c r="Z45" i="6"/>
  <c r="Z44" i="6"/>
  <c r="Z43" i="6"/>
  <c r="Z42" i="6"/>
  <c r="Z41" i="6"/>
  <c r="Z40" i="6"/>
  <c r="Z39" i="6"/>
  <c r="Z38" i="6"/>
  <c r="Z37" i="6"/>
  <c r="Z36" i="6"/>
  <c r="Z35" i="6"/>
  <c r="Z34" i="6"/>
  <c r="Z33" i="6"/>
  <c r="Z32" i="6"/>
  <c r="Z31" i="6"/>
  <c r="Z30" i="6"/>
  <c r="Z29" i="6"/>
  <c r="Z28" i="6"/>
  <c r="Z27" i="6"/>
  <c r="Z26" i="6"/>
  <c r="Z25" i="6"/>
  <c r="Z24" i="6"/>
  <c r="Z23" i="6"/>
  <c r="Z22" i="6"/>
  <c r="Z21" i="6"/>
  <c r="Z20" i="6"/>
  <c r="Z19" i="6"/>
  <c r="Z18" i="6"/>
  <c r="Z17" i="6"/>
  <c r="Z16" i="6"/>
  <c r="Z15" i="6"/>
  <c r="Z14" i="6"/>
  <c r="Z13" i="6"/>
  <c r="Z12" i="6"/>
  <c r="Z11" i="6"/>
  <c r="Z10" i="6"/>
  <c r="Z9" i="6"/>
  <c r="Z8" i="6"/>
  <c r="Z7" i="6"/>
  <c r="Z6" i="6"/>
  <c r="Z5" i="6"/>
  <c r="Z4" i="6"/>
  <c r="Z3" i="6"/>
  <c r="Z2" i="6"/>
</calcChain>
</file>

<file path=xl/sharedStrings.xml><?xml version="1.0" encoding="utf-8"?>
<sst xmlns="http://schemas.openxmlformats.org/spreadsheetml/2006/main" count="1100" uniqueCount="193">
  <si>
    <t>Executive Supply Chain Overview</t>
  </si>
  <si>
    <t>Total Revenue</t>
  </si>
  <si>
    <t>Total Units Sold</t>
  </si>
  <si>
    <t>Avg Shipping Cost</t>
  </si>
  <si>
    <t>Avg Supplier Lead Time</t>
  </si>
  <si>
    <t>$577,605</t>
  </si>
  <si>
    <t>46,099</t>
  </si>
  <si>
    <t>$5.55</t>
  </si>
  <si>
    <t>17.1 days</t>
  </si>
  <si>
    <t>Sum of Revenue generated</t>
  </si>
  <si>
    <t>Sum of Number of products sold</t>
  </si>
  <si>
    <t>Per shipment, average</t>
  </si>
  <si>
    <t>Average across suppliers</t>
  </si>
  <si>
    <t>Inventory Turnover</t>
  </si>
  <si>
    <t>Stockout Risk Rate</t>
  </si>
  <si>
    <t>Avg Defect Rate</t>
  </si>
  <si>
    <t>Logistics Cost / Unit</t>
  </si>
  <si>
    <t>9.65x</t>
  </si>
  <si>
    <t>54.0%</t>
  </si>
  <si>
    <t>2.28%</t>
  </si>
  <si>
    <t>$1.15</t>
  </si>
  <si>
    <t>Units sold / units in stock</t>
  </si>
  <si>
    <t>SKUs where stock &lt; order qty</t>
  </si>
  <si>
    <t>Across all inspections</t>
  </si>
  <si>
    <t>Total logistics cost / units sold</t>
  </si>
  <si>
    <t>Product type</t>
  </si>
  <si>
    <t>Revenue generated</t>
  </si>
  <si>
    <t>Number of products sold</t>
  </si>
  <si>
    <t>skincare</t>
  </si>
  <si>
    <t>haircare</t>
  </si>
  <si>
    <t>cosmetics</t>
  </si>
  <si>
    <t>Product Performance Dashboard</t>
  </si>
  <si>
    <t>Revenue</t>
  </si>
  <si>
    <t>SKU</t>
  </si>
  <si>
    <t>SKU10</t>
  </si>
  <si>
    <t>SKU94</t>
  </si>
  <si>
    <t>SKU9</t>
  </si>
  <si>
    <t>SKU36</t>
  </si>
  <si>
    <t>SKU37</t>
  </si>
  <si>
    <t>SKU11</t>
  </si>
  <si>
    <t>SKU78</t>
  </si>
  <si>
    <t>SKU40</t>
  </si>
  <si>
    <t>SKU44</t>
  </si>
  <si>
    <t>SKU91</t>
  </si>
  <si>
    <t>Availability</t>
  </si>
  <si>
    <t>Inventory &amp; Supplier Dashboard</t>
  </si>
  <si>
    <t>Stock levels</t>
  </si>
  <si>
    <t>Stock_to_Sales_Ratio</t>
  </si>
  <si>
    <t>Supplier name</t>
  </si>
  <si>
    <t>Lead time</t>
  </si>
  <si>
    <t>SKU12</t>
  </si>
  <si>
    <t>Supplier 3</t>
  </si>
  <si>
    <t>SKU51</t>
  </si>
  <si>
    <t>Supplier 2</t>
  </si>
  <si>
    <t>SKU59</t>
  </si>
  <si>
    <t>Supplier 5</t>
  </si>
  <si>
    <t>Supplier 4</t>
  </si>
  <si>
    <t>SKU55</t>
  </si>
  <si>
    <t>Supplier 1</t>
  </si>
  <si>
    <t>SKU49</t>
  </si>
  <si>
    <t>SKU53</t>
  </si>
  <si>
    <t>SKU77</t>
  </si>
  <si>
    <t>SKU69</t>
  </si>
  <si>
    <t>SKU7</t>
  </si>
  <si>
    <t>SKU45</t>
  </si>
  <si>
    <t>SKU46</t>
  </si>
  <si>
    <t>SKU92</t>
  </si>
  <si>
    <t>SKU89</t>
  </si>
  <si>
    <t>SKU5</t>
  </si>
  <si>
    <t>Order quantities</t>
  </si>
  <si>
    <t>Stockout Risk %</t>
  </si>
  <si>
    <t>Manufacturing Quality Dashboard</t>
  </si>
  <si>
    <t>Defect rates</t>
  </si>
  <si>
    <t>Inspection results</t>
  </si>
  <si>
    <t>Count</t>
  </si>
  <si>
    <t>Pending</t>
  </si>
  <si>
    <t>Fail</t>
  </si>
  <si>
    <t>Pass</t>
  </si>
  <si>
    <t>Manufacturing costs</t>
  </si>
  <si>
    <t>Logistics &amp; Transportation Dashboard</t>
  </si>
  <si>
    <t>Shipping carriers</t>
  </si>
  <si>
    <t>Shipping costs</t>
  </si>
  <si>
    <t>Transportation modes</t>
  </si>
  <si>
    <t>Costs</t>
  </si>
  <si>
    <t>Carrier C</t>
  </si>
  <si>
    <t>Air</t>
  </si>
  <si>
    <t>Carrier A</t>
  </si>
  <si>
    <t>Road</t>
  </si>
  <si>
    <t>Carrier B</t>
  </si>
  <si>
    <t>Rail</t>
  </si>
  <si>
    <t>Sea</t>
  </si>
  <si>
    <t>Routes</t>
  </si>
  <si>
    <t>Total_Cost</t>
  </si>
  <si>
    <t>Avg_Cost</t>
  </si>
  <si>
    <t>Shipping times</t>
  </si>
  <si>
    <t>Route B</t>
  </si>
  <si>
    <t>Route A</t>
  </si>
  <si>
    <t>Route C</t>
  </si>
  <si>
    <t>Price</t>
  </si>
  <si>
    <t>Customer demographics</t>
  </si>
  <si>
    <t>Lead times</t>
  </si>
  <si>
    <t>Location</t>
  </si>
  <si>
    <t>Production volumes</t>
  </si>
  <si>
    <t>Manufacturing lead time</t>
  </si>
  <si>
    <t>Stockout_Risk_Flag</t>
  </si>
  <si>
    <t>Inventory_Turnover</t>
  </si>
  <si>
    <t>Profit_Margin_Proxy</t>
  </si>
  <si>
    <t>Logistics_Cost_per_Unit</t>
  </si>
  <si>
    <t>SKU0</t>
  </si>
  <si>
    <t>Non-binary</t>
  </si>
  <si>
    <t>Mumbai</t>
  </si>
  <si>
    <t>SKU1</t>
  </si>
  <si>
    <t>Female</t>
  </si>
  <si>
    <t>SKU2</t>
  </si>
  <si>
    <t>Unknown</t>
  </si>
  <si>
    <t>SKU3</t>
  </si>
  <si>
    <t>Kolkata</t>
  </si>
  <si>
    <t>SKU4</t>
  </si>
  <si>
    <t>Delhi</t>
  </si>
  <si>
    <t>Bangalore</t>
  </si>
  <si>
    <t>SKU6</t>
  </si>
  <si>
    <t>Male</t>
  </si>
  <si>
    <t>SKU8</t>
  </si>
  <si>
    <t>Chennai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</si>
  <si>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</si>
  <si>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</si>
  <si>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</si>
  <si>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</si>
  <si>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</si>
  <si>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</si>
  <si>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</si>
  <si>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</si>
  <si>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</si>
  <si>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</si>
  <si>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</si>
  <si>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</si>
  <si>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</si>
  <si>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</si>
  <si>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</si>
  <si>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</si>
  <si>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</si>
  <si>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</si>
  <si>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</si>
  <si>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</si>
  <si>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</si>
  <si>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</si>
  <si>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</si>
  <si>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SKU38</t>
  </si>
  <si>
    <t>SKU39</t>
  </si>
  <si>
    <t>SKU41</t>
  </si>
  <si>
    <t>SKU42</t>
  </si>
  <si>
    <t>SKU43</t>
  </si>
  <si>
    <t>SKU47</t>
  </si>
  <si>
    <t>SKU48</t>
  </si>
  <si>
    <t>SKU50</t>
  </si>
  <si>
    <t>SKU52</t>
  </si>
  <si>
    <t>SKU54</t>
  </si>
  <si>
    <t>SKU56</t>
  </si>
  <si>
    <t>SKU57</t>
  </si>
  <si>
    <t>SKU58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</si>
  <si>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</si>
  <si>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</si>
  <si>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</si>
  <si>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</si>
  <si>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</si>
  <si>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</si>
  <si>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</si>
  <si>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</si>
  <si>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</si>
  <si>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SKU70</t>
  </si>
  <si>
    <t>SKU71</t>
  </si>
  <si>
    <t>SKU72</t>
  </si>
  <si>
    <t>SKU73</t>
  </si>
  <si>
    <t>SKU74</t>
  </si>
  <si>
    <t>SKU75</t>
  </si>
  <si>
    <t>SKU76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</si>
  <si>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</si>
  <si>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</si>
  <si>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</si>
  <si>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</si>
  <si>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</si>
  <si>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</si>
  <si>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</si>
  <si>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</si>
  <si>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</si>
  <si>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</si>
  <si>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SKU90</t>
  </si>
  <si>
    <t>SKU93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</si>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</sst>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\$#,##0"/>
    <numFmt numFmtId="165" formatCode="0.0"/>
    <numFmt numFmtId="166" formatCode="0.0\%"/>
    <numFmt numFmtId="167" formatCode="0.00\%"/>
    <numFmt numFmtId="168" formatCode="\$0.00"/>
    <numFmt numFmtId="169" formatCode="\$#,##0.00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0"/>
      <color rgb="FF6B7280"/>
      <name val="Calibri"/>
      <charset val="1"/>
    </font>
    <font>
      <b/>
      <sz val="18"/>
      <color rgb="FF1E2761"/>
      <name val="Calibri"/>
      <charset val="1"/>
    </font>
    <font>
      <i/>
      <sz val="8"/>
      <color rgb="FF6B7280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1"/>
      <color rgb="FFFFFFFF"/>
      <name val="Calibri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EAF1FB"/>
        <bgColor rgb="FFF5F8FC"/>
      </patternFill>
    </fill>
    <fill>
      <patternFill patternType="solid">
        <fgColor rgb="FF2E86AB"/>
        <bgColor rgb="FF4F81BD"/>
      </patternFill>
    </fill>
    <fill>
      <patternFill patternType="solid">
        <fgColor rgb="FFF5F8FC"/>
        <bgColor rgb="FFFFFFFF"/>
      </patternFill>
    </fill>
  </fills>
  <borders count="2">
    <border>
      <left/>
      <right/>
      <top/>
      <bottom/>
      <diagonal/>
    </border>
    <border>
      <left style="thin">
        <color rgb="FFB9C6D8"/>
      </left>
      <right style="thin">
        <color rgb="FFB9C6D8"/>
      </right>
      <top style="thin">
        <color rgb="FFB9C6D8"/>
      </top>
      <bottom style="thin">
        <color rgb="FFB9C6D8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27">
    <xf numFmtId="0" fontId="0" fillId="0" borderId="0" xfId="0"/>
    <xf numFmtId="0" fontId="5" fillId="4" borderId="0" xfId="0" applyFont="1" applyFill="1" applyAlignment="1">
      <alignment horizontal="center"/>
    </xf>
    <xf numFmtId="0" fontId="6" fillId="0" borderId="0" xfId="0" applyFont="1"/>
    <xf numFmtId="164" fontId="6" fillId="0" borderId="0" xfId="0" applyNumberFormat="1" applyFont="1"/>
    <xf numFmtId="3" fontId="6" fillId="0" borderId="0" xfId="0" applyNumberFormat="1" applyFont="1"/>
    <xf numFmtId="0" fontId="6" fillId="5" borderId="0" xfId="0" applyFont="1" applyFill="1"/>
    <xf numFmtId="164" fontId="6" fillId="5" borderId="0" xfId="0" applyNumberFormat="1" applyFont="1" applyFill="1"/>
    <xf numFmtId="3" fontId="6" fillId="5" borderId="0" xfId="0" applyNumberFormat="1" applyFont="1" applyFill="1"/>
    <xf numFmtId="165" fontId="6" fillId="0" borderId="0" xfId="0" applyNumberFormat="1" applyFont="1"/>
    <xf numFmtId="165" fontId="6" fillId="5" borderId="0" xfId="0" applyNumberFormat="1" applyFont="1" applyFill="1"/>
    <xf numFmtId="166" fontId="6" fillId="0" borderId="0" xfId="0" applyNumberFormat="1" applyFont="1"/>
    <xf numFmtId="166" fontId="6" fillId="5" borderId="0" xfId="0" applyNumberFormat="1" applyFont="1" applyFill="1"/>
    <xf numFmtId="167" fontId="6" fillId="0" borderId="0" xfId="0" applyNumberFormat="1" applyFont="1"/>
    <xf numFmtId="167" fontId="6" fillId="5" borderId="0" xfId="0" applyNumberFormat="1" applyFont="1" applyFill="1"/>
    <xf numFmtId="168" fontId="6" fillId="0" borderId="0" xfId="0" applyNumberFormat="1" applyFont="1"/>
    <xf numFmtId="168" fontId="6" fillId="5" borderId="0" xfId="0" applyNumberFormat="1" applyFont="1" applyFill="1"/>
    <xf numFmtId="169" fontId="6" fillId="0" borderId="0" xfId="0" applyNumberFormat="1" applyFont="1"/>
    <xf numFmtId="2" fontId="6" fillId="0" borderId="0" xfId="0" applyNumberFormat="1" applyFont="1"/>
    <xf numFmtId="169" fontId="6" fillId="5" borderId="0" xfId="0" applyNumberFormat="1" applyFont="1" applyFill="1"/>
    <xf numFmtId="2" fontId="6" fillId="5" borderId="0" xfId="0" applyNumberFormat="1" applyFont="1" applyFill="1"/>
    <xf numFmtId="0" fontId="7" fillId="2" borderId="0" xfId="0" applyFont="1" applyFill="1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43" fontId="7" fillId="2" borderId="0" xfId="1" applyFont="1" applyFill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6D8"/>
      <rgbColor rgb="FF878787"/>
      <rgbColor rgb="FF9999FF"/>
      <rgbColor rgb="FFC0504D"/>
      <rgbColor rgb="FFF5F8FC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B7280"/>
      <rgbColor rgb="FF969696"/>
      <rgbColor rgb="FF1E2761"/>
      <rgbColor rgb="FF2E86A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Product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'1_Executive_Overview'!$B$12</c:f>
              <c:strCache>
                <c:ptCount val="1"/>
                <c:pt idx="0">
                  <c:v>Revenue generated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'1_Executive_Overview'!$A$13:$A$15</c:f>
              <c:strCache>
                <c:ptCount val="3"/>
                <c:pt idx="0">
                  <c:v>skincare</c:v>
                </c:pt>
                <c:pt idx="1">
                  <c:v>haircare</c:v>
                </c:pt>
                <c:pt idx="2">
                  <c:v>cosmetics</c:v>
                </c:pt>
              </c:strCache>
            </c:strRef>
          </c:cat>
          <c:val>
            <c:numRef>
              <c:f>'1_Executive_Overview'!$B$13:$B$15</c:f>
              <c:numCache>
                <c:formatCode>\$#,##0</c:formatCode>
                <c:ptCount val="3"/>
                <c:pt idx="0">
                  <c:v>241628.16213306299</c:v>
                </c:pt>
                <c:pt idx="1">
                  <c:v>174455.39060546199</c:v>
                </c:pt>
                <c:pt idx="2">
                  <c:v>161521.265999483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9-4300-94EC-1585E9998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247073"/>
        <c:axId val="34161959"/>
      </c:barChart>
      <c:catAx>
        <c:axId val="792470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161959"/>
        <c:crosses val="autoZero"/>
        <c:auto val="1"/>
        <c:lblAlgn val="ctr"/>
        <c:lblOffset val="100"/>
        <c:noMultiLvlLbl val="0"/>
      </c:catAx>
      <c:valAx>
        <c:axId val="341619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2470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Units Sold Share by Product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'1_Executive_Overview'!$I$12</c:f>
              <c:strCache>
                <c:ptCount val="1"/>
                <c:pt idx="0">
                  <c:v>Number of products sold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403-449D-AC33-72A071C59E4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403-449D-AC33-72A071C59E4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403-449D-AC33-72A071C59E4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03-449D-AC33-72A071C59E4C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03-449D-AC33-72A071C59E4C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03-449D-AC33-72A071C59E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'1_Executive_Overview'!$H$13:$H$15</c:f>
              <c:strCache>
                <c:ptCount val="3"/>
                <c:pt idx="0">
                  <c:v>skincare</c:v>
                </c:pt>
                <c:pt idx="1">
                  <c:v>haircare</c:v>
                </c:pt>
                <c:pt idx="2">
                  <c:v>cosmetics</c:v>
                </c:pt>
              </c:strCache>
            </c:strRef>
          </c:cat>
          <c:val>
            <c:numRef>
              <c:f>'1_Executive_Overview'!$I$13:$I$15</c:f>
              <c:numCache>
                <c:formatCode>#,##0</c:formatCode>
                <c:ptCount val="3"/>
                <c:pt idx="0">
                  <c:v>20731</c:v>
                </c:pt>
                <c:pt idx="1">
                  <c:v>13611</c:v>
                </c:pt>
                <c:pt idx="2">
                  <c:v>11757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03-449D-AC33-72A071C59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Product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'2_Product_Performance'!$B$3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'2_Product_Performance'!$A$4:$A$6</c:f>
              <c:strCache>
                <c:ptCount val="3"/>
                <c:pt idx="0">
                  <c:v>skincare</c:v>
                </c:pt>
                <c:pt idx="1">
                  <c:v>haircare</c:v>
                </c:pt>
                <c:pt idx="2">
                  <c:v>cosmetics</c:v>
                </c:pt>
              </c:strCache>
            </c:strRef>
          </c:cat>
          <c:val>
            <c:numRef>
              <c:f>'2_Product_Performance'!$B$4:$B$6</c:f>
              <c:numCache>
                <c:formatCode>\$#,##0</c:formatCode>
                <c:ptCount val="3"/>
                <c:pt idx="0">
                  <c:v>241628.16213306299</c:v>
                </c:pt>
                <c:pt idx="1">
                  <c:v>174455.39060546199</c:v>
                </c:pt>
                <c:pt idx="2">
                  <c:v>161521.265999483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5-4A53-B946-BAD049C2B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041188"/>
        <c:axId val="48672414"/>
      </c:barChart>
      <c:catAx>
        <c:axId val="970411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672414"/>
        <c:crosses val="autoZero"/>
        <c:auto val="1"/>
        <c:lblAlgn val="ctr"/>
        <c:lblOffset val="100"/>
        <c:noMultiLvlLbl val="0"/>
      </c:catAx>
      <c:valAx>
        <c:axId val="486724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0411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Selling SKUs (Units)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'2_Product_Performance'!$O$3</c:f>
              <c:strCache>
                <c:ptCount val="1"/>
                <c:pt idx="0">
                  <c:v>Revenue generated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'2_Product_Performance'!$L$4:$L$13</c:f>
              <c:strCache>
                <c:ptCount val="10"/>
                <c:pt idx="0">
                  <c:v>SKU10</c:v>
                </c:pt>
                <c:pt idx="1">
                  <c:v>SKU94</c:v>
                </c:pt>
                <c:pt idx="2">
                  <c:v>SKU9</c:v>
                </c:pt>
                <c:pt idx="3">
                  <c:v>SKU36</c:v>
                </c:pt>
                <c:pt idx="4">
                  <c:v>SKU37</c:v>
                </c:pt>
                <c:pt idx="5">
                  <c:v>SKU11</c:v>
                </c:pt>
                <c:pt idx="6">
                  <c:v>SKU78</c:v>
                </c:pt>
                <c:pt idx="7">
                  <c:v>SKU40</c:v>
                </c:pt>
                <c:pt idx="8">
                  <c:v>SKU44</c:v>
                </c:pt>
                <c:pt idx="9">
                  <c:v>SKU91</c:v>
                </c:pt>
              </c:strCache>
            </c:strRef>
          </c:cat>
          <c:val>
            <c:numRef>
              <c:f>'2_Product_Performance'!$O$4:$O$13</c:f>
              <c:numCache>
                <c:formatCode>General</c:formatCode>
                <c:ptCount val="10"/>
                <c:pt idx="0">
                  <c:v>2330.9658020919401</c:v>
                </c:pt>
                <c:pt idx="1">
                  <c:v>7888.3565466618702</c:v>
                </c:pt>
                <c:pt idx="2">
                  <c:v>4971.1459875855498</c:v>
                </c:pt>
                <c:pt idx="3">
                  <c:v>7573.4024578487297</c:v>
                </c:pt>
                <c:pt idx="4">
                  <c:v>2438.3399304700201</c:v>
                </c:pt>
                <c:pt idx="5">
                  <c:v>6099.9441155814502</c:v>
                </c:pt>
                <c:pt idx="6">
                  <c:v>1292.45841793775</c:v>
                </c:pt>
                <c:pt idx="7">
                  <c:v>5724.9593504562599</c:v>
                </c:pt>
                <c:pt idx="8">
                  <c:v>7152.28604943551</c:v>
                </c:pt>
                <c:pt idx="9">
                  <c:v>1935.20679350759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3-4685-831F-2E58CEE35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037560"/>
        <c:axId val="42916767"/>
      </c:barChart>
      <c:catAx>
        <c:axId val="30037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916767"/>
        <c:crosses val="autoZero"/>
        <c:auto val="1"/>
        <c:lblAlgn val="ctr"/>
        <c:lblOffset val="100"/>
        <c:noMultiLvlLbl val="0"/>
      </c:catAx>
      <c:valAx>
        <c:axId val="429167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0375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Product Availability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'2_Product_Performance'!$B$16</c:f>
              <c:strCache>
                <c:ptCount val="1"/>
                <c:pt idx="0">
                  <c:v>Availability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'2_Product_Performance'!$A$17:$A$19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'2_Product_Performance'!$B$17:$B$19</c:f>
              <c:numCache>
                <c:formatCode>0.0</c:formatCode>
                <c:ptCount val="3"/>
                <c:pt idx="0">
                  <c:v>51.2</c:v>
                </c:pt>
                <c:pt idx="1">
                  <c:v>43.3</c:v>
                </c:pt>
                <c:pt idx="2">
                  <c:v>50.9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2-4616-AB29-15EC6BDB8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11171"/>
        <c:axId val="70234771"/>
      </c:barChart>
      <c:catAx>
        <c:axId val="182111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234771"/>
        <c:crosses val="autoZero"/>
        <c:auto val="1"/>
        <c:lblAlgn val="ctr"/>
        <c:lblOffset val="100"/>
        <c:noMultiLvlLbl val="0"/>
      </c:catAx>
      <c:valAx>
        <c:axId val="70234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2111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Supplier Lead Time Comparison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'3_Inventory_Supplier'!$H$3</c:f>
              <c:strCache>
                <c:ptCount val="1"/>
                <c:pt idx="0">
                  <c:v>Lead time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'3_Inventory_Supplier'!$G$4:$G$8</c:f>
              <c:strCache>
                <c:ptCount val="5"/>
                <c:pt idx="0">
                  <c:v>Supplier 3</c:v>
                </c:pt>
                <c:pt idx="1">
                  <c:v>Supplier 2</c:v>
                </c:pt>
                <c:pt idx="2">
                  <c:v>Supplier 5</c:v>
                </c:pt>
                <c:pt idx="3">
                  <c:v>Supplier 4</c:v>
                </c:pt>
                <c:pt idx="4">
                  <c:v>Supplier 1</c:v>
                </c:pt>
              </c:strCache>
            </c:strRef>
          </c:cat>
          <c:val>
            <c:numRef>
              <c:f>'3_Inventory_Supplier'!$H$4:$H$8</c:f>
              <c:numCache>
                <c:formatCode>0.0</c:formatCode>
                <c:ptCount val="5"/>
                <c:pt idx="0">
                  <c:v>20.100000000000001</c:v>
                </c:pt>
                <c:pt idx="1">
                  <c:v>18.5</c:v>
                </c:pt>
                <c:pt idx="2">
                  <c:v>18.100000000000001</c:v>
                </c:pt>
                <c:pt idx="3">
                  <c:v>15.2</c:v>
                </c:pt>
                <c:pt idx="4">
                  <c:v>14.8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0-474E-A5BD-1D6018D4E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375073"/>
        <c:axId val="58004867"/>
      </c:barChart>
      <c:catAx>
        <c:axId val="383750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004867"/>
        <c:crosses val="autoZero"/>
        <c:auto val="1"/>
        <c:lblAlgn val="ctr"/>
        <c:lblOffset val="100"/>
        <c:noMultiLvlLbl val="0"/>
      </c:catAx>
      <c:valAx>
        <c:axId val="580048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3750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Order Quantities by Supplier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'3_Inventory_Supplier'!$B$20</c:f>
              <c:strCache>
                <c:ptCount val="1"/>
                <c:pt idx="0">
                  <c:v>Order quantities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'3_Inventory_Supplier'!$A$21:$A$25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5</c:v>
                </c:pt>
                <c:pt idx="3">
                  <c:v>Supplier 4</c:v>
                </c:pt>
                <c:pt idx="4">
                  <c:v>Supplier 3</c:v>
                </c:pt>
              </c:strCache>
            </c:strRef>
          </c:cat>
          <c:val>
            <c:numRef>
              <c:f>'3_Inventory_Supplier'!$B$21:$B$25</c:f>
              <c:numCache>
                <c:formatCode>#,##0</c:formatCode>
                <c:ptCount val="5"/>
                <c:pt idx="0">
                  <c:v>1458</c:v>
                </c:pt>
                <c:pt idx="1">
                  <c:v>1022</c:v>
                </c:pt>
                <c:pt idx="2">
                  <c:v>968</c:v>
                </c:pt>
                <c:pt idx="3">
                  <c:v>842</c:v>
                </c:pt>
                <c:pt idx="4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7-4D93-ADA3-E87319B9D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3813"/>
        <c:axId val="55087626"/>
      </c:barChart>
      <c:catAx>
        <c:axId val="43238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087626"/>
        <c:crosses val="autoZero"/>
        <c:auto val="1"/>
        <c:lblAlgn val="ctr"/>
        <c:lblOffset val="100"/>
        <c:noMultiLvlLbl val="0"/>
      </c:catAx>
      <c:valAx>
        <c:axId val="550876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238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Defect Rate by Product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'4_Manufacturing_Quality'!$B$3</c:f>
              <c:strCache>
                <c:ptCount val="1"/>
                <c:pt idx="0">
                  <c:v>Defect rates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'4_Manufacturing_Quality'!$A$4:$A$6</c:f>
              <c:strCache>
                <c:ptCount val="3"/>
                <c:pt idx="0">
                  <c:v>haircare</c:v>
                </c:pt>
                <c:pt idx="1">
                  <c:v>skincare</c:v>
                </c:pt>
                <c:pt idx="2">
                  <c:v>cosmetics</c:v>
                </c:pt>
              </c:strCache>
            </c:strRef>
          </c:cat>
          <c:val>
            <c:numRef>
              <c:f>'4_Manufacturing_Quality'!$B$4:$B$6</c:f>
              <c:numCache>
                <c:formatCode>0.00\%</c:formatCode>
                <c:ptCount val="3"/>
                <c:pt idx="0">
                  <c:v>2.48</c:v>
                </c:pt>
                <c:pt idx="1">
                  <c:v>2.33</c:v>
                </c:pt>
                <c:pt idx="2">
                  <c:v>1.92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E-4D49-AFB2-220043BF4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005923"/>
        <c:axId val="88751909"/>
      </c:barChart>
      <c:catAx>
        <c:axId val="720059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751909"/>
        <c:crosses val="autoZero"/>
        <c:auto val="1"/>
        <c:lblAlgn val="ctr"/>
        <c:lblOffset val="100"/>
        <c:noMultiLvlLbl val="0"/>
      </c:catAx>
      <c:valAx>
        <c:axId val="887519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0059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Inspection Results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'4_Manufacturing_Quality'!$M$3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8A7-4E31-A9DF-F6EC75D5213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8A7-4E31-A9DF-F6EC75D5213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8A7-4E31-A9DF-F6EC75D5213A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A7-4E31-A9DF-F6EC75D5213A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A7-4E31-A9DF-F6EC75D5213A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A7-4E31-A9DF-F6EC75D521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'4_Manufacturing_Quality'!$L$4:$L$6</c:f>
              <c:strCache>
                <c:ptCount val="3"/>
                <c:pt idx="0">
                  <c:v>Pending</c:v>
                </c:pt>
                <c:pt idx="1">
                  <c:v>Fail</c:v>
                </c:pt>
                <c:pt idx="2">
                  <c:v>Pass</c:v>
                </c:pt>
              </c:strCache>
            </c:strRef>
          </c:cat>
          <c:val>
            <c:numRef>
              <c:f>'4_Manufacturing_Quality'!$M$4:$M$6</c:f>
              <c:numCache>
                <c:formatCode>General</c:formatCode>
                <c:ptCount val="3"/>
                <c:pt idx="0">
                  <c:v>41</c:v>
                </c:pt>
                <c:pt idx="1">
                  <c:v>36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A7-4E31-A9DF-F6EC75D5213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Manufacturing Cost by Product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'4_Manufacturing_Quality'!$B$20</c:f>
              <c:strCache>
                <c:ptCount val="1"/>
                <c:pt idx="0">
                  <c:v>Manufacturing costs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'4_Manufacturing_Quality'!$A$21:$A$23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'4_Manufacturing_Quality'!$B$21:$B$23</c:f>
              <c:numCache>
                <c:formatCode>\$0.00</c:formatCode>
                <c:ptCount val="3"/>
                <c:pt idx="0">
                  <c:v>43.05</c:v>
                </c:pt>
                <c:pt idx="1">
                  <c:v>48.46</c:v>
                </c:pt>
                <c:pt idx="2">
                  <c:v>48.99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5-4F5B-ABCD-C4957B4A9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03357"/>
        <c:axId val="58105115"/>
      </c:barChart>
      <c:catAx>
        <c:axId val="261033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105115"/>
        <c:crosses val="autoZero"/>
        <c:auto val="1"/>
        <c:lblAlgn val="ctr"/>
        <c:lblOffset val="100"/>
        <c:noMultiLvlLbl val="0"/>
      </c:catAx>
      <c:valAx>
        <c:axId val="581051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1033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Shipping Cost by Carrier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'5_Logistics_Transportation'!$B$3</c:f>
              <c:strCache>
                <c:ptCount val="1"/>
                <c:pt idx="0">
                  <c:v>Shipping costs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'5_Logistics_Transportation'!$A$4:$A$6</c:f>
              <c:strCache>
                <c:ptCount val="3"/>
                <c:pt idx="0">
                  <c:v>Carrier C</c:v>
                </c:pt>
                <c:pt idx="1">
                  <c:v>Carrier A</c:v>
                </c:pt>
                <c:pt idx="2">
                  <c:v>Carrier B</c:v>
                </c:pt>
              </c:strCache>
            </c:strRef>
          </c:cat>
          <c:val>
            <c:numRef>
              <c:f>'5_Logistics_Transportation'!$B$4:$B$6</c:f>
              <c:numCache>
                <c:formatCode>\$0.00</c:formatCode>
                <c:ptCount val="3"/>
                <c:pt idx="0">
                  <c:v>5.6</c:v>
                </c:pt>
                <c:pt idx="1">
                  <c:v>5.55</c:v>
                </c:pt>
                <c:pt idx="2">
                  <c:v>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0-4701-827D-2D40082A9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857866"/>
        <c:axId val="43480253"/>
      </c:barChart>
      <c:catAx>
        <c:axId val="888578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480253"/>
        <c:crosses val="autoZero"/>
        <c:auto val="1"/>
        <c:lblAlgn val="ctr"/>
        <c:lblOffset val="100"/>
        <c:noMultiLvlLbl val="0"/>
      </c:catAx>
      <c:valAx>
        <c:axId val="434802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8578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Logistics Cost by Transportation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'5_Logistics_Transportation'!$M$3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'5_Logistics_Transportation'!$L$4:$L$7</c:f>
              <c:strCache>
                <c:ptCount val="4"/>
                <c:pt idx="0">
                  <c:v>Air</c:v>
                </c:pt>
                <c:pt idx="1">
                  <c:v>Road</c:v>
                </c:pt>
                <c:pt idx="2">
                  <c:v>Rail</c:v>
                </c:pt>
                <c:pt idx="3">
                  <c:v>Sea</c:v>
                </c:pt>
              </c:strCache>
            </c:strRef>
          </c:cat>
          <c:val>
            <c:numRef>
              <c:f>'5_Logistics_Transportation'!$M$4:$M$7</c:f>
              <c:numCache>
                <c:formatCode>\$0.00</c:formatCode>
                <c:ptCount val="4"/>
                <c:pt idx="0">
                  <c:v>561.71</c:v>
                </c:pt>
                <c:pt idx="1">
                  <c:v>553.39</c:v>
                </c:pt>
                <c:pt idx="2">
                  <c:v>541.75</c:v>
                </c:pt>
                <c:pt idx="3">
                  <c:v>417.82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3-494C-8FC4-93210F38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16946"/>
        <c:axId val="36656664"/>
      </c:barChart>
      <c:catAx>
        <c:axId val="504169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656664"/>
        <c:crosses val="autoZero"/>
        <c:auto val="1"/>
        <c:lblAlgn val="ctr"/>
        <c:lblOffset val="100"/>
        <c:noMultiLvlLbl val="0"/>
      </c:catAx>
      <c:valAx>
        <c:axId val="366566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169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Logistics Cost by Route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'5_Logistics_Transportation'!$B$20</c:f>
              <c:strCache>
                <c:ptCount val="1"/>
                <c:pt idx="0">
                  <c:v>Total_Cost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'5_Logistics_Transportation'!$A$21:$A$23</c:f>
              <c:strCache>
                <c:ptCount val="3"/>
                <c:pt idx="0">
                  <c:v>Route B</c:v>
                </c:pt>
                <c:pt idx="1">
                  <c:v>Route A</c:v>
                </c:pt>
                <c:pt idx="2">
                  <c:v>Route C</c:v>
                </c:pt>
              </c:strCache>
            </c:strRef>
          </c:cat>
          <c:val>
            <c:numRef>
              <c:f>'5_Logistics_Transportation'!$B$21:$B$23</c:f>
              <c:numCache>
                <c:formatCode>\$#,##0.00</c:formatCode>
                <c:ptCount val="3"/>
                <c:pt idx="0">
                  <c:v>22039.38</c:v>
                </c:pt>
                <c:pt idx="1">
                  <c:v>20875.77</c:v>
                </c:pt>
                <c:pt idx="2">
                  <c:v>10009.42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B-4A43-AAF0-42FFA53E0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23480"/>
        <c:axId val="39882767"/>
      </c:barChart>
      <c:catAx>
        <c:axId val="4392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882767"/>
        <c:crosses val="autoZero"/>
        <c:auto val="1"/>
        <c:lblAlgn val="ctr"/>
        <c:lblOffset val="100"/>
        <c:noMultiLvlLbl val="0"/>
      </c:catAx>
      <c:valAx>
        <c:axId val="398827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9234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11520</xdr:rowOff>
    </xdr:from>
    <xdr:to>
      <xdr:col>6</xdr:col>
      <xdr:colOff>639360</xdr:colOff>
      <xdr:row>23</xdr:row>
      <xdr:rowOff>54720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10</xdr:row>
      <xdr:rowOff>11520</xdr:rowOff>
    </xdr:from>
    <xdr:to>
      <xdr:col>16</xdr:col>
      <xdr:colOff>542160</xdr:colOff>
      <xdr:row>23</xdr:row>
      <xdr:rowOff>54720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6</xdr:col>
      <xdr:colOff>216360</xdr:colOff>
      <xdr:row>15</xdr:row>
      <xdr:rowOff>43200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19</xdr:row>
      <xdr:rowOff>0</xdr:rowOff>
    </xdr:from>
    <xdr:to>
      <xdr:col>6</xdr:col>
      <xdr:colOff>936360</xdr:colOff>
      <xdr:row>34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19</xdr:row>
      <xdr:rowOff>0</xdr:rowOff>
    </xdr:from>
    <xdr:to>
      <xdr:col>14</xdr:col>
      <xdr:colOff>216360</xdr:colOff>
      <xdr:row>32</xdr:row>
      <xdr:rowOff>42840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12</xdr:col>
      <xdr:colOff>639360</xdr:colOff>
      <xdr:row>15</xdr:row>
      <xdr:rowOff>43200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19</xdr:row>
      <xdr:rowOff>0</xdr:rowOff>
    </xdr:from>
    <xdr:to>
      <xdr:col>6</xdr:col>
      <xdr:colOff>639000</xdr:colOff>
      <xdr:row>32</xdr:row>
      <xdr:rowOff>42840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6</xdr:col>
      <xdr:colOff>639000</xdr:colOff>
      <xdr:row>15</xdr:row>
      <xdr:rowOff>43200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0</xdr:rowOff>
    </xdr:from>
    <xdr:to>
      <xdr:col>15</xdr:col>
      <xdr:colOff>27720</xdr:colOff>
      <xdr:row>15</xdr:row>
      <xdr:rowOff>43200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19</xdr:row>
      <xdr:rowOff>0</xdr:rowOff>
    </xdr:from>
    <xdr:to>
      <xdr:col>6</xdr:col>
      <xdr:colOff>639000</xdr:colOff>
      <xdr:row>32</xdr:row>
      <xdr:rowOff>42840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6</xdr:col>
      <xdr:colOff>639000</xdr:colOff>
      <xdr:row>15</xdr:row>
      <xdr:rowOff>43200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0</xdr:rowOff>
    </xdr:from>
    <xdr:to>
      <xdr:col>15</xdr:col>
      <xdr:colOff>27720</xdr:colOff>
      <xdr:row>15</xdr:row>
      <xdr:rowOff>43200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19</xdr:row>
      <xdr:rowOff>0</xdr:rowOff>
    </xdr:from>
    <xdr:to>
      <xdr:col>6</xdr:col>
      <xdr:colOff>639000</xdr:colOff>
      <xdr:row>32</xdr:row>
      <xdr:rowOff>42840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zoomScaleNormal="100" workbookViewId="0">
      <selection activeCell="A4" sqref="A4:B4"/>
    </sheetView>
  </sheetViews>
  <sheetFormatPr defaultColWidth="8.6640625" defaultRowHeight="14.4" x14ac:dyDescent="0.3"/>
  <cols>
    <col min="1" max="1" width="16" customWidth="1"/>
    <col min="2" max="2" width="16.6640625" bestFit="1" customWidth="1"/>
    <col min="3" max="8" width="14" customWidth="1"/>
  </cols>
  <sheetData>
    <row r="1" spans="1:9" ht="30" customHeight="1" x14ac:dyDescent="0.3">
      <c r="A1" s="21" t="s">
        <v>0</v>
      </c>
      <c r="B1" s="21"/>
      <c r="C1" s="21"/>
      <c r="D1" s="21"/>
      <c r="E1" s="21"/>
      <c r="F1" s="21"/>
      <c r="G1" s="21"/>
      <c r="H1" s="21"/>
    </row>
    <row r="3" spans="1:9" ht="15" customHeight="1" x14ac:dyDescent="0.3">
      <c r="A3" s="22" t="s">
        <v>1</v>
      </c>
      <c r="B3" s="22"/>
      <c r="C3" s="22" t="s">
        <v>2</v>
      </c>
      <c r="D3" s="22"/>
      <c r="E3" s="22" t="s">
        <v>3</v>
      </c>
      <c r="F3" s="22"/>
      <c r="G3" s="22" t="s">
        <v>4</v>
      </c>
      <c r="H3" s="22"/>
    </row>
    <row r="4" spans="1:9" ht="23.4" x14ac:dyDescent="0.3">
      <c r="A4" s="23" t="s">
        <v>5</v>
      </c>
      <c r="B4" s="23"/>
      <c r="C4" s="23" t="s">
        <v>6</v>
      </c>
      <c r="D4" s="23"/>
      <c r="E4" s="23" t="s">
        <v>7</v>
      </c>
      <c r="F4" s="23"/>
      <c r="G4" s="23" t="s">
        <v>8</v>
      </c>
      <c r="H4" s="23"/>
    </row>
    <row r="5" spans="1:9" x14ac:dyDescent="0.3">
      <c r="A5" s="24" t="s">
        <v>9</v>
      </c>
      <c r="B5" s="24"/>
      <c r="C5" s="24" t="s">
        <v>10</v>
      </c>
      <c r="D5" s="24"/>
      <c r="E5" s="24" t="s">
        <v>11</v>
      </c>
      <c r="F5" s="24"/>
      <c r="G5" s="24" t="s">
        <v>12</v>
      </c>
      <c r="H5" s="24"/>
    </row>
    <row r="7" spans="1:9" ht="15" customHeight="1" x14ac:dyDescent="0.3">
      <c r="A7" s="22" t="s">
        <v>13</v>
      </c>
      <c r="B7" s="22"/>
      <c r="C7" s="22" t="s">
        <v>14</v>
      </c>
      <c r="D7" s="22"/>
      <c r="E7" s="22" t="s">
        <v>15</v>
      </c>
      <c r="F7" s="22"/>
      <c r="G7" s="22" t="s">
        <v>16</v>
      </c>
      <c r="H7" s="22"/>
    </row>
    <row r="8" spans="1:9" ht="23.4" x14ac:dyDescent="0.3">
      <c r="A8" s="23" t="s">
        <v>17</v>
      </c>
      <c r="B8" s="23"/>
      <c r="C8" s="23" t="s">
        <v>18</v>
      </c>
      <c r="D8" s="23"/>
      <c r="E8" s="23" t="s">
        <v>19</v>
      </c>
      <c r="F8" s="23"/>
      <c r="G8" s="23" t="s">
        <v>20</v>
      </c>
      <c r="H8" s="23"/>
    </row>
    <row r="9" spans="1:9" x14ac:dyDescent="0.3">
      <c r="A9" s="24" t="s">
        <v>21</v>
      </c>
      <c r="B9" s="24"/>
      <c r="C9" s="24" t="s">
        <v>22</v>
      </c>
      <c r="D9" s="24"/>
      <c r="E9" s="24" t="s">
        <v>23</v>
      </c>
      <c r="F9" s="24"/>
      <c r="G9" s="24" t="s">
        <v>24</v>
      </c>
      <c r="H9" s="24"/>
    </row>
    <row r="12" spans="1:9" x14ac:dyDescent="0.3">
      <c r="A12" s="1" t="s">
        <v>25</v>
      </c>
      <c r="B12" s="1" t="s">
        <v>26</v>
      </c>
      <c r="H12" s="1" t="s">
        <v>25</v>
      </c>
      <c r="I12" s="1" t="s">
        <v>27</v>
      </c>
    </row>
    <row r="13" spans="1:9" x14ac:dyDescent="0.3">
      <c r="A13" s="2" t="s">
        <v>28</v>
      </c>
      <c r="B13" s="3">
        <v>241628.16213306299</v>
      </c>
      <c r="H13" s="2" t="s">
        <v>28</v>
      </c>
      <c r="I13" s="4">
        <v>20731</v>
      </c>
    </row>
    <row r="14" spans="1:9" x14ac:dyDescent="0.3">
      <c r="A14" s="5" t="s">
        <v>29</v>
      </c>
      <c r="B14" s="6">
        <v>174455.39060546199</v>
      </c>
      <c r="H14" s="5" t="s">
        <v>29</v>
      </c>
      <c r="I14" s="7">
        <v>13611</v>
      </c>
    </row>
    <row r="15" spans="1:9" x14ac:dyDescent="0.3">
      <c r="A15" s="2" t="s">
        <v>30</v>
      </c>
      <c r="B15" s="3">
        <v>161521.265999483</v>
      </c>
      <c r="H15" s="2" t="s">
        <v>30</v>
      </c>
      <c r="I15" s="4">
        <v>11757</v>
      </c>
    </row>
  </sheetData>
  <mergeCells count="25">
    <mergeCell ref="A9:B9"/>
    <mergeCell ref="C9:D9"/>
    <mergeCell ref="E9:F9"/>
    <mergeCell ref="G9:H9"/>
    <mergeCell ref="A7:B7"/>
    <mergeCell ref="C7:D7"/>
    <mergeCell ref="E7:F7"/>
    <mergeCell ref="G7:H7"/>
    <mergeCell ref="A8:B8"/>
    <mergeCell ref="C8:D8"/>
    <mergeCell ref="E8:F8"/>
    <mergeCell ref="G8:H8"/>
    <mergeCell ref="A4:B4"/>
    <mergeCell ref="C4:D4"/>
    <mergeCell ref="E4:F4"/>
    <mergeCell ref="G4:H4"/>
    <mergeCell ref="A5:B5"/>
    <mergeCell ref="C5:D5"/>
    <mergeCell ref="E5:F5"/>
    <mergeCell ref="G5:H5"/>
    <mergeCell ref="A1:H1"/>
    <mergeCell ref="A3:B3"/>
    <mergeCell ref="C3:D3"/>
    <mergeCell ref="E3:F3"/>
    <mergeCell ref="G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topLeftCell="E14" zoomScaleNormal="100" workbookViewId="0">
      <selection activeCell="I11" sqref="I11"/>
    </sheetView>
  </sheetViews>
  <sheetFormatPr defaultColWidth="8.6640625" defaultRowHeight="14.4" x14ac:dyDescent="0.3"/>
  <cols>
    <col min="1" max="16" width="16" customWidth="1"/>
  </cols>
  <sheetData>
    <row r="1" spans="1:15" ht="30" customHeight="1" x14ac:dyDescent="0.3">
      <c r="A1" s="21" t="s">
        <v>31</v>
      </c>
      <c r="B1" s="21"/>
      <c r="C1" s="21"/>
      <c r="D1" s="21"/>
      <c r="E1" s="21"/>
      <c r="F1" s="21"/>
      <c r="G1" s="21"/>
      <c r="H1" s="21"/>
    </row>
    <row r="3" spans="1:15" x14ac:dyDescent="0.3">
      <c r="A3" s="1" t="s">
        <v>25</v>
      </c>
      <c r="B3" s="1" t="s">
        <v>32</v>
      </c>
      <c r="L3" s="1" t="s">
        <v>33</v>
      </c>
      <c r="M3" s="1" t="s">
        <v>25</v>
      </c>
      <c r="N3" s="1" t="s">
        <v>27</v>
      </c>
      <c r="O3" s="1" t="s">
        <v>26</v>
      </c>
    </row>
    <row r="4" spans="1:15" x14ac:dyDescent="0.3">
      <c r="A4" s="2" t="s">
        <v>28</v>
      </c>
      <c r="B4" s="3">
        <v>241628.16213306299</v>
      </c>
      <c r="L4" s="2" t="s">
        <v>34</v>
      </c>
      <c r="M4" s="2" t="s">
        <v>28</v>
      </c>
      <c r="N4" s="2">
        <v>996</v>
      </c>
      <c r="O4" s="2">
        <v>2330.9658020919401</v>
      </c>
    </row>
    <row r="5" spans="1:15" x14ac:dyDescent="0.3">
      <c r="A5" s="5" t="s">
        <v>29</v>
      </c>
      <c r="B5" s="6">
        <v>174455.39060546199</v>
      </c>
      <c r="L5" s="5" t="s">
        <v>35</v>
      </c>
      <c r="M5" s="5" t="s">
        <v>30</v>
      </c>
      <c r="N5" s="5">
        <v>987</v>
      </c>
      <c r="O5" s="5">
        <v>7888.3565466618702</v>
      </c>
    </row>
    <row r="6" spans="1:15" x14ac:dyDescent="0.3">
      <c r="A6" s="2" t="s">
        <v>30</v>
      </c>
      <c r="B6" s="3">
        <v>161521.265999483</v>
      </c>
      <c r="L6" s="2" t="s">
        <v>36</v>
      </c>
      <c r="M6" s="2" t="s">
        <v>28</v>
      </c>
      <c r="N6" s="2">
        <v>980</v>
      </c>
      <c r="O6" s="2">
        <v>4971.1459875855498</v>
      </c>
    </row>
    <row r="7" spans="1:15" x14ac:dyDescent="0.3">
      <c r="L7" s="5" t="s">
        <v>37</v>
      </c>
      <c r="M7" s="5" t="s">
        <v>28</v>
      </c>
      <c r="N7" s="5">
        <v>963</v>
      </c>
      <c r="O7" s="5">
        <v>7573.4024578487297</v>
      </c>
    </row>
    <row r="8" spans="1:15" x14ac:dyDescent="0.3">
      <c r="L8" s="2" t="s">
        <v>38</v>
      </c>
      <c r="M8" s="2" t="s">
        <v>28</v>
      </c>
      <c r="N8" s="2">
        <v>963</v>
      </c>
      <c r="O8" s="2">
        <v>2438.3399304700201</v>
      </c>
    </row>
    <row r="9" spans="1:15" x14ac:dyDescent="0.3">
      <c r="L9" s="5" t="s">
        <v>39</v>
      </c>
      <c r="M9" s="5" t="s">
        <v>28</v>
      </c>
      <c r="N9" s="5">
        <v>960</v>
      </c>
      <c r="O9" s="5">
        <v>6099.9441155814502</v>
      </c>
    </row>
    <row r="10" spans="1:15" x14ac:dyDescent="0.3">
      <c r="L10" s="2" t="s">
        <v>40</v>
      </c>
      <c r="M10" s="2" t="s">
        <v>29</v>
      </c>
      <c r="N10" s="2">
        <v>946</v>
      </c>
      <c r="O10" s="2">
        <v>1292.45841793775</v>
      </c>
    </row>
    <row r="11" spans="1:15" x14ac:dyDescent="0.3">
      <c r="L11" s="5" t="s">
        <v>41</v>
      </c>
      <c r="M11" s="5" t="s">
        <v>28</v>
      </c>
      <c r="N11" s="5">
        <v>933</v>
      </c>
      <c r="O11" s="5">
        <v>5724.9593504562599</v>
      </c>
    </row>
    <row r="12" spans="1:15" x14ac:dyDescent="0.3">
      <c r="L12" s="2" t="s">
        <v>42</v>
      </c>
      <c r="M12" s="2" t="s">
        <v>30</v>
      </c>
      <c r="N12" s="2">
        <v>919</v>
      </c>
      <c r="O12" s="2">
        <v>7152.28604943551</v>
      </c>
    </row>
    <row r="13" spans="1:15" x14ac:dyDescent="0.3">
      <c r="L13" s="5" t="s">
        <v>43</v>
      </c>
      <c r="M13" s="5" t="s">
        <v>30</v>
      </c>
      <c r="N13" s="5">
        <v>916</v>
      </c>
      <c r="O13" s="5">
        <v>1935.20679350759</v>
      </c>
    </row>
    <row r="16" spans="1:15" x14ac:dyDescent="0.3">
      <c r="A16" s="1" t="s">
        <v>25</v>
      </c>
      <c r="B16" s="1" t="s">
        <v>44</v>
      </c>
    </row>
    <row r="17" spans="1:2" x14ac:dyDescent="0.3">
      <c r="A17" s="2" t="s">
        <v>30</v>
      </c>
      <c r="B17" s="8">
        <v>51.2</v>
      </c>
    </row>
    <row r="18" spans="1:2" x14ac:dyDescent="0.3">
      <c r="A18" s="5" t="s">
        <v>29</v>
      </c>
      <c r="B18" s="9">
        <v>43.3</v>
      </c>
    </row>
    <row r="19" spans="1:2" x14ac:dyDescent="0.3">
      <c r="A19" s="2" t="s">
        <v>28</v>
      </c>
      <c r="B19" s="8">
        <v>50.9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"/>
  <sheetViews>
    <sheetView topLeftCell="A20" zoomScaleNormal="100" workbookViewId="0">
      <selection activeCell="I19" sqref="I19"/>
    </sheetView>
  </sheetViews>
  <sheetFormatPr defaultColWidth="8.6640625" defaultRowHeight="14.4" x14ac:dyDescent="0.3"/>
  <cols>
    <col min="1" max="14" width="14" customWidth="1"/>
  </cols>
  <sheetData>
    <row r="1" spans="1:8" ht="30" customHeight="1" x14ac:dyDescent="0.3">
      <c r="A1" s="21" t="s">
        <v>45</v>
      </c>
      <c r="B1" s="21"/>
      <c r="C1" s="21"/>
      <c r="D1" s="21"/>
      <c r="E1" s="21"/>
      <c r="F1" s="21"/>
      <c r="G1" s="21"/>
      <c r="H1" s="21"/>
    </row>
    <row r="3" spans="1:8" x14ac:dyDescent="0.3">
      <c r="A3" s="1" t="s">
        <v>33</v>
      </c>
      <c r="B3" s="1" t="s">
        <v>25</v>
      </c>
      <c r="C3" s="1" t="s">
        <v>46</v>
      </c>
      <c r="D3" s="1" t="s">
        <v>27</v>
      </c>
      <c r="E3" s="1" t="s">
        <v>47</v>
      </c>
      <c r="G3" s="1" t="s">
        <v>48</v>
      </c>
      <c r="H3" s="1" t="s">
        <v>49</v>
      </c>
    </row>
    <row r="4" spans="1:8" x14ac:dyDescent="0.3">
      <c r="A4" s="2" t="s">
        <v>50</v>
      </c>
      <c r="B4" s="2" t="s">
        <v>29</v>
      </c>
      <c r="C4" s="2">
        <v>100</v>
      </c>
      <c r="D4" s="2">
        <v>336</v>
      </c>
      <c r="E4" s="2">
        <v>0.29799999999999999</v>
      </c>
      <c r="G4" s="2" t="s">
        <v>51</v>
      </c>
      <c r="H4" s="8">
        <v>20.100000000000001</v>
      </c>
    </row>
    <row r="5" spans="1:8" x14ac:dyDescent="0.3">
      <c r="A5" s="5" t="s">
        <v>52</v>
      </c>
      <c r="B5" s="5" t="s">
        <v>29</v>
      </c>
      <c r="C5" s="5">
        <v>100</v>
      </c>
      <c r="D5" s="5">
        <v>154</v>
      </c>
      <c r="E5" s="5">
        <v>0.64900000000000002</v>
      </c>
      <c r="G5" s="5" t="s">
        <v>53</v>
      </c>
      <c r="H5" s="9">
        <v>18.5</v>
      </c>
    </row>
    <row r="6" spans="1:8" x14ac:dyDescent="0.3">
      <c r="A6" s="2" t="s">
        <v>54</v>
      </c>
      <c r="B6" s="2" t="s">
        <v>30</v>
      </c>
      <c r="C6" s="2">
        <v>100</v>
      </c>
      <c r="D6" s="2">
        <v>484</v>
      </c>
      <c r="E6" s="2">
        <v>0.20699999999999999</v>
      </c>
      <c r="G6" s="2" t="s">
        <v>55</v>
      </c>
      <c r="H6" s="8">
        <v>18.100000000000001</v>
      </c>
    </row>
    <row r="7" spans="1:8" x14ac:dyDescent="0.3">
      <c r="A7" s="5" t="s">
        <v>43</v>
      </c>
      <c r="B7" s="5" t="s">
        <v>30</v>
      </c>
      <c r="C7" s="5">
        <v>98</v>
      </c>
      <c r="D7" s="5">
        <v>916</v>
      </c>
      <c r="E7" s="5">
        <v>0.107</v>
      </c>
      <c r="G7" s="5" t="s">
        <v>56</v>
      </c>
      <c r="H7" s="9">
        <v>15.2</v>
      </c>
    </row>
    <row r="8" spans="1:8" x14ac:dyDescent="0.3">
      <c r="A8" s="2" t="s">
        <v>57</v>
      </c>
      <c r="B8" s="2" t="s">
        <v>29</v>
      </c>
      <c r="C8" s="2">
        <v>97</v>
      </c>
      <c r="D8" s="2">
        <v>701</v>
      </c>
      <c r="E8" s="2">
        <v>0.13800000000000001</v>
      </c>
      <c r="G8" s="2" t="s">
        <v>58</v>
      </c>
      <c r="H8" s="8">
        <v>14.8</v>
      </c>
    </row>
    <row r="9" spans="1:8" x14ac:dyDescent="0.3">
      <c r="A9" s="5" t="s">
        <v>59</v>
      </c>
      <c r="B9" s="5" t="s">
        <v>30</v>
      </c>
      <c r="C9" s="5">
        <v>97</v>
      </c>
      <c r="D9" s="5">
        <v>99</v>
      </c>
      <c r="E9" s="5">
        <v>0.98</v>
      </c>
    </row>
    <row r="10" spans="1:8" x14ac:dyDescent="0.3">
      <c r="A10" s="2" t="s">
        <v>60</v>
      </c>
      <c r="B10" s="2" t="s">
        <v>28</v>
      </c>
      <c r="C10" s="2">
        <v>96</v>
      </c>
      <c r="D10" s="2">
        <v>242</v>
      </c>
      <c r="E10" s="2">
        <v>0.39700000000000002</v>
      </c>
    </row>
    <row r="11" spans="1:8" x14ac:dyDescent="0.3">
      <c r="A11" s="5" t="s">
        <v>61</v>
      </c>
      <c r="B11" s="5" t="s">
        <v>29</v>
      </c>
      <c r="C11" s="5">
        <v>96</v>
      </c>
      <c r="D11" s="5">
        <v>359</v>
      </c>
      <c r="E11" s="5">
        <v>0.26700000000000002</v>
      </c>
    </row>
    <row r="12" spans="1:8" x14ac:dyDescent="0.3">
      <c r="A12" s="2" t="s">
        <v>62</v>
      </c>
      <c r="B12" s="2" t="s">
        <v>28</v>
      </c>
      <c r="C12" s="2">
        <v>95</v>
      </c>
      <c r="D12" s="2">
        <v>511</v>
      </c>
      <c r="E12" s="2">
        <v>0.186</v>
      </c>
    </row>
    <row r="13" spans="1:8" x14ac:dyDescent="0.3">
      <c r="A13" s="5" t="s">
        <v>63</v>
      </c>
      <c r="B13" s="5" t="s">
        <v>30</v>
      </c>
      <c r="C13" s="5">
        <v>93</v>
      </c>
      <c r="D13" s="5">
        <v>426</v>
      </c>
      <c r="E13" s="5">
        <v>0.218</v>
      </c>
    </row>
    <row r="14" spans="1:8" x14ac:dyDescent="0.3">
      <c r="A14" s="2" t="s">
        <v>64</v>
      </c>
      <c r="B14" s="2" t="s">
        <v>29</v>
      </c>
      <c r="C14" s="2">
        <v>93</v>
      </c>
      <c r="D14" s="2">
        <v>24</v>
      </c>
      <c r="E14" s="2">
        <v>3.875</v>
      </c>
    </row>
    <row r="15" spans="1:8" x14ac:dyDescent="0.3">
      <c r="A15" s="5" t="s">
        <v>65</v>
      </c>
      <c r="B15" s="5" t="s">
        <v>29</v>
      </c>
      <c r="C15" s="5">
        <v>92</v>
      </c>
      <c r="D15" s="5">
        <v>859</v>
      </c>
      <c r="E15" s="5">
        <v>0.107</v>
      </c>
    </row>
    <row r="16" spans="1:8" x14ac:dyDescent="0.3">
      <c r="A16" s="2" t="s">
        <v>66</v>
      </c>
      <c r="B16" s="2" t="s">
        <v>30</v>
      </c>
      <c r="C16" s="2">
        <v>90</v>
      </c>
      <c r="D16" s="2">
        <v>276</v>
      </c>
      <c r="E16" s="2">
        <v>0.32600000000000001</v>
      </c>
    </row>
    <row r="17" spans="1:13" x14ac:dyDescent="0.3">
      <c r="A17" s="5" t="s">
        <v>67</v>
      </c>
      <c r="B17" s="5" t="s">
        <v>30</v>
      </c>
      <c r="C17" s="5">
        <v>90</v>
      </c>
      <c r="D17" s="5">
        <v>134</v>
      </c>
      <c r="E17" s="5">
        <v>0.67200000000000004</v>
      </c>
    </row>
    <row r="18" spans="1:13" x14ac:dyDescent="0.3">
      <c r="A18" s="2" t="s">
        <v>68</v>
      </c>
      <c r="B18" s="2" t="s">
        <v>29</v>
      </c>
      <c r="C18" s="2">
        <v>90</v>
      </c>
      <c r="D18" s="2">
        <v>147</v>
      </c>
      <c r="E18" s="2">
        <v>0.61199999999999999</v>
      </c>
    </row>
    <row r="20" spans="1:13" x14ac:dyDescent="0.3">
      <c r="A20" s="1" t="s">
        <v>48</v>
      </c>
      <c r="B20" s="1" t="s">
        <v>69</v>
      </c>
      <c r="L20" s="1" t="s">
        <v>25</v>
      </c>
      <c r="M20" s="1" t="s">
        <v>70</v>
      </c>
    </row>
    <row r="21" spans="1:13" x14ac:dyDescent="0.3">
      <c r="A21" s="2" t="s">
        <v>58</v>
      </c>
      <c r="B21" s="4">
        <v>1458</v>
      </c>
      <c r="L21" s="2" t="s">
        <v>30</v>
      </c>
      <c r="M21" s="10">
        <v>50</v>
      </c>
    </row>
    <row r="22" spans="1:13" x14ac:dyDescent="0.3">
      <c r="A22" s="5" t="s">
        <v>53</v>
      </c>
      <c r="B22" s="7">
        <v>1022</v>
      </c>
      <c r="L22" s="5" t="s">
        <v>29</v>
      </c>
      <c r="M22" s="11">
        <v>44.1</v>
      </c>
    </row>
    <row r="23" spans="1:13" x14ac:dyDescent="0.3">
      <c r="A23" s="2" t="s">
        <v>55</v>
      </c>
      <c r="B23" s="4">
        <v>968</v>
      </c>
      <c r="L23" s="2" t="s">
        <v>28</v>
      </c>
      <c r="M23" s="10">
        <v>65</v>
      </c>
    </row>
    <row r="24" spans="1:13" x14ac:dyDescent="0.3">
      <c r="A24" s="5" t="s">
        <v>56</v>
      </c>
      <c r="B24" s="7">
        <v>842</v>
      </c>
    </row>
    <row r="25" spans="1:13" x14ac:dyDescent="0.3">
      <c r="A25" s="2" t="s">
        <v>51</v>
      </c>
      <c r="B25" s="4">
        <v>632</v>
      </c>
    </row>
  </sheetData>
  <mergeCells count="1">
    <mergeCell ref="A1:H1"/>
  </mergeCells>
  <conditionalFormatting sqref="C4:C19">
    <cfRule type="colorScale" priority="2">
      <colorScale>
        <cfvo type="min"/>
        <cfvo type="max"/>
        <color rgb="FFFFFFFF"/>
        <color rgb="FFF4A261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5"/>
  <sheetViews>
    <sheetView topLeftCell="C2" zoomScaleNormal="100" workbookViewId="0">
      <selection activeCell="R12" sqref="R12"/>
    </sheetView>
  </sheetViews>
  <sheetFormatPr defaultColWidth="8.6640625" defaultRowHeight="14.4" x14ac:dyDescent="0.3"/>
  <cols>
    <col min="1" max="14" width="14" customWidth="1"/>
  </cols>
  <sheetData>
    <row r="1" spans="1:13" ht="30" customHeight="1" x14ac:dyDescent="0.3">
      <c r="A1" s="21" t="s">
        <v>71</v>
      </c>
      <c r="B1" s="21"/>
      <c r="C1" s="21"/>
      <c r="D1" s="21"/>
      <c r="E1" s="21"/>
      <c r="F1" s="21"/>
      <c r="G1" s="21"/>
      <c r="H1" s="21"/>
    </row>
    <row r="3" spans="1:13" x14ac:dyDescent="0.3">
      <c r="A3" s="1" t="s">
        <v>25</v>
      </c>
      <c r="B3" s="1" t="s">
        <v>72</v>
      </c>
      <c r="L3" s="1" t="s">
        <v>73</v>
      </c>
      <c r="M3" s="1" t="s">
        <v>74</v>
      </c>
    </row>
    <row r="4" spans="1:13" x14ac:dyDescent="0.3">
      <c r="A4" s="2" t="s">
        <v>29</v>
      </c>
      <c r="B4" s="12">
        <v>2.48</v>
      </c>
      <c r="L4" s="2" t="s">
        <v>75</v>
      </c>
      <c r="M4" s="2">
        <v>41</v>
      </c>
    </row>
    <row r="5" spans="1:13" x14ac:dyDescent="0.3">
      <c r="A5" s="5" t="s">
        <v>28</v>
      </c>
      <c r="B5" s="13">
        <v>2.33</v>
      </c>
      <c r="L5" s="5" t="s">
        <v>76</v>
      </c>
      <c r="M5" s="5">
        <v>36</v>
      </c>
    </row>
    <row r="6" spans="1:13" x14ac:dyDescent="0.3">
      <c r="A6" s="2" t="s">
        <v>30</v>
      </c>
      <c r="B6" s="12">
        <v>1.92</v>
      </c>
      <c r="L6" s="2" t="s">
        <v>77</v>
      </c>
      <c r="M6" s="2">
        <v>23</v>
      </c>
    </row>
    <row r="20" spans="1:13" x14ac:dyDescent="0.3">
      <c r="A20" s="1" t="s">
        <v>25</v>
      </c>
      <c r="B20" s="1" t="s">
        <v>78</v>
      </c>
      <c r="L20" s="1" t="s">
        <v>48</v>
      </c>
      <c r="M20" s="1" t="s">
        <v>72</v>
      </c>
    </row>
    <row r="21" spans="1:13" x14ac:dyDescent="0.3">
      <c r="A21" s="2" t="s">
        <v>30</v>
      </c>
      <c r="B21" s="14">
        <v>43.05</v>
      </c>
      <c r="L21" s="2" t="s">
        <v>55</v>
      </c>
      <c r="M21" s="12">
        <v>2.67</v>
      </c>
    </row>
    <row r="22" spans="1:13" x14ac:dyDescent="0.3">
      <c r="A22" s="5" t="s">
        <v>29</v>
      </c>
      <c r="B22" s="15">
        <v>48.46</v>
      </c>
      <c r="L22" s="5" t="s">
        <v>51</v>
      </c>
      <c r="M22" s="13">
        <v>2.4700000000000002</v>
      </c>
    </row>
    <row r="23" spans="1:13" x14ac:dyDescent="0.3">
      <c r="A23" s="2" t="s">
        <v>28</v>
      </c>
      <c r="B23" s="14">
        <v>48.99</v>
      </c>
      <c r="L23" s="2" t="s">
        <v>53</v>
      </c>
      <c r="M23" s="12">
        <v>2.36</v>
      </c>
    </row>
    <row r="24" spans="1:13" x14ac:dyDescent="0.3">
      <c r="L24" s="5" t="s">
        <v>56</v>
      </c>
      <c r="M24" s="13">
        <v>2.34</v>
      </c>
    </row>
    <row r="25" spans="1:13" x14ac:dyDescent="0.3">
      <c r="L25" s="2" t="s">
        <v>58</v>
      </c>
      <c r="M25" s="12">
        <v>1.8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"/>
  <sheetViews>
    <sheetView zoomScaleNormal="100" workbookViewId="0">
      <selection sqref="A1:H1"/>
    </sheetView>
  </sheetViews>
  <sheetFormatPr defaultColWidth="8.6640625" defaultRowHeight="14.4" x14ac:dyDescent="0.3"/>
  <cols>
    <col min="1" max="14" width="14" customWidth="1"/>
  </cols>
  <sheetData>
    <row r="1" spans="1:13" ht="30" customHeight="1" x14ac:dyDescent="0.3">
      <c r="A1" s="21" t="s">
        <v>79</v>
      </c>
      <c r="B1" s="21"/>
      <c r="C1" s="21"/>
      <c r="D1" s="21"/>
      <c r="E1" s="21"/>
      <c r="F1" s="21"/>
      <c r="G1" s="21"/>
      <c r="H1" s="21"/>
    </row>
    <row r="3" spans="1:13" x14ac:dyDescent="0.3">
      <c r="A3" s="1" t="s">
        <v>80</v>
      </c>
      <c r="B3" s="1" t="s">
        <v>81</v>
      </c>
      <c r="L3" s="1" t="s">
        <v>82</v>
      </c>
      <c r="M3" s="1" t="s">
        <v>83</v>
      </c>
    </row>
    <row r="4" spans="1:13" x14ac:dyDescent="0.3">
      <c r="A4" s="2" t="s">
        <v>84</v>
      </c>
      <c r="B4" s="14">
        <v>5.6</v>
      </c>
      <c r="L4" s="2" t="s">
        <v>85</v>
      </c>
      <c r="M4" s="14">
        <v>561.71</v>
      </c>
    </row>
    <row r="5" spans="1:13" x14ac:dyDescent="0.3">
      <c r="A5" s="5" t="s">
        <v>86</v>
      </c>
      <c r="B5" s="15">
        <v>5.55</v>
      </c>
      <c r="L5" s="5" t="s">
        <v>87</v>
      </c>
      <c r="M5" s="15">
        <v>553.39</v>
      </c>
    </row>
    <row r="6" spans="1:13" x14ac:dyDescent="0.3">
      <c r="A6" s="2" t="s">
        <v>88</v>
      </c>
      <c r="B6" s="14">
        <v>5.51</v>
      </c>
      <c r="L6" s="2" t="s">
        <v>89</v>
      </c>
      <c r="M6" s="14">
        <v>541.75</v>
      </c>
    </row>
    <row r="7" spans="1:13" x14ac:dyDescent="0.3">
      <c r="L7" s="5" t="s">
        <v>90</v>
      </c>
      <c r="M7" s="15">
        <v>417.82</v>
      </c>
    </row>
    <row r="20" spans="1:13" x14ac:dyDescent="0.3">
      <c r="A20" s="1" t="s">
        <v>91</v>
      </c>
      <c r="B20" s="1" t="s">
        <v>92</v>
      </c>
      <c r="C20" s="1" t="s">
        <v>93</v>
      </c>
      <c r="L20" s="1" t="s">
        <v>80</v>
      </c>
      <c r="M20" s="1" t="s">
        <v>94</v>
      </c>
    </row>
    <row r="21" spans="1:13" x14ac:dyDescent="0.3">
      <c r="A21" s="2" t="s">
        <v>95</v>
      </c>
      <c r="B21" s="16">
        <v>22039.38</v>
      </c>
      <c r="C21" s="16">
        <v>595.66</v>
      </c>
      <c r="L21" s="2" t="s">
        <v>86</v>
      </c>
      <c r="M21" s="17">
        <v>6.14</v>
      </c>
    </row>
    <row r="22" spans="1:13" x14ac:dyDescent="0.3">
      <c r="A22" s="5" t="s">
        <v>96</v>
      </c>
      <c r="B22" s="18">
        <v>20875.77</v>
      </c>
      <c r="C22" s="18">
        <v>485.48</v>
      </c>
      <c r="L22" s="5" t="s">
        <v>84</v>
      </c>
      <c r="M22" s="19">
        <v>6.03</v>
      </c>
    </row>
    <row r="23" spans="1:13" x14ac:dyDescent="0.3">
      <c r="A23" s="2" t="s">
        <v>97</v>
      </c>
      <c r="B23" s="16">
        <v>10009.42</v>
      </c>
      <c r="C23" s="16">
        <v>500.47</v>
      </c>
      <c r="L23" s="2" t="s">
        <v>88</v>
      </c>
      <c r="M23" s="17">
        <v>5.3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01"/>
  <sheetViews>
    <sheetView tabSelected="1" topLeftCell="D1" zoomScaleNormal="100" workbookViewId="0">
      <pane ySplit="1" topLeftCell="A2" activePane="bottomLeft" state="frozen"/>
      <selection pane="bottomLeft" activeCell="O2" sqref="O2:O101"/>
    </sheetView>
  </sheetViews>
  <sheetFormatPr defaultColWidth="8.6640625" defaultRowHeight="14.4" x14ac:dyDescent="0.3"/>
  <cols>
    <col min="1" max="1" width="14" customWidth="1"/>
    <col min="2" max="3" width="12" customWidth="1"/>
    <col min="4" max="4" width="14" customWidth="1"/>
    <col min="5" max="5" width="25" customWidth="1"/>
    <col min="6" max="6" width="19" customWidth="1"/>
    <col min="7" max="7" width="23" customWidth="1"/>
    <col min="8" max="8" width="14" customWidth="1"/>
    <col min="9" max="9" width="12" customWidth="1"/>
    <col min="10" max="10" width="18" customWidth="1"/>
    <col min="11" max="11" width="16" customWidth="1"/>
    <col min="12" max="12" width="19" customWidth="1"/>
    <col min="13" max="13" width="16" customWidth="1"/>
    <col min="14" max="15" width="15" customWidth="1"/>
    <col min="16" max="17" width="12" customWidth="1"/>
    <col min="18" max="18" width="20" customWidth="1"/>
    <col min="19" max="19" width="25" customWidth="1"/>
    <col min="20" max="20" width="21" customWidth="1"/>
    <col min="21" max="21" width="20" customWidth="1"/>
    <col min="22" max="22" width="14" customWidth="1"/>
    <col min="23" max="23" width="22" customWidth="1"/>
    <col min="24" max="25" width="12" customWidth="1"/>
    <col min="26" max="26" width="20" customWidth="1"/>
    <col min="27" max="27" width="22" customWidth="1"/>
    <col min="28" max="28" width="20" customWidth="1"/>
    <col min="29" max="29" width="21" customWidth="1"/>
    <col min="30" max="30" width="25" customWidth="1"/>
  </cols>
  <sheetData>
    <row r="1" spans="1:30" x14ac:dyDescent="0.3">
      <c r="A1" s="20" t="s">
        <v>25</v>
      </c>
      <c r="B1" s="20" t="s">
        <v>33</v>
      </c>
      <c r="C1" s="20" t="s">
        <v>98</v>
      </c>
      <c r="D1" s="20" t="s">
        <v>44</v>
      </c>
      <c r="E1" s="20" t="s">
        <v>27</v>
      </c>
      <c r="F1" s="25" t="s">
        <v>26</v>
      </c>
      <c r="G1" s="20" t="s">
        <v>99</v>
      </c>
      <c r="H1" s="20" t="s">
        <v>46</v>
      </c>
      <c r="I1" s="20" t="s">
        <v>100</v>
      </c>
      <c r="J1" s="20" t="s">
        <v>69</v>
      </c>
      <c r="K1" s="20" t="s">
        <v>94</v>
      </c>
      <c r="L1" s="20" t="s">
        <v>80</v>
      </c>
      <c r="M1" s="20" t="s">
        <v>81</v>
      </c>
      <c r="N1" s="20" t="s">
        <v>48</v>
      </c>
      <c r="O1" s="20"/>
      <c r="P1" s="20" t="s">
        <v>101</v>
      </c>
      <c r="Q1" s="20" t="s">
        <v>49</v>
      </c>
      <c r="R1" s="20" t="s">
        <v>102</v>
      </c>
      <c r="S1" s="20" t="s">
        <v>103</v>
      </c>
      <c r="T1" s="20" t="s">
        <v>78</v>
      </c>
      <c r="U1" s="20" t="s">
        <v>73</v>
      </c>
      <c r="V1" s="20" t="s">
        <v>72</v>
      </c>
      <c r="W1" s="20" t="s">
        <v>82</v>
      </c>
      <c r="X1" s="20" t="s">
        <v>91</v>
      </c>
      <c r="Y1" s="20" t="s">
        <v>83</v>
      </c>
      <c r="Z1" s="20" t="s">
        <v>104</v>
      </c>
      <c r="AA1" s="20" t="s">
        <v>47</v>
      </c>
      <c r="AB1" s="20" t="s">
        <v>105</v>
      </c>
      <c r="AC1" s="20" t="s">
        <v>106</v>
      </c>
      <c r="AD1" s="20" t="s">
        <v>107</v>
      </c>
    </row>
    <row r="2" spans="1:30" x14ac:dyDescent="0.3">
      <c r="A2" t="s">
        <v>29</v>
      </c>
      <c r="B2" t="s">
        <v>108</v>
      </c>
      <c r="C2">
        <v>69.808005542115694</v>
      </c>
      <c r="D2">
        <v>55</v>
      </c>
      <c r="E2">
        <v>802</v>
      </c>
      <c r="F2" s="26">
        <v>8661.9967923923796</v>
      </c>
      <c r="G2" t="s">
        <v>109</v>
      </c>
      <c r="H2">
        <v>58</v>
      </c>
      <c r="I2">
        <v>7</v>
      </c>
      <c r="J2">
        <v>96</v>
      </c>
      <c r="K2">
        <v>4</v>
      </c>
      <c r="L2" t="s">
        <v>88</v>
      </c>
      <c r="M2">
        <v>2.9565721394308002</v>
      </c>
      <c r="N2" t="s">
        <v>51</v>
      </c>
      <c r="O2" t="str">
        <f>_xlfn.IFS(F2&gt;=5000,"avarage",F2&gt;=10000,"good",TRUE,"bad")</f>
        <v>avarage</v>
      </c>
      <c r="P2" t="s">
        <v>110</v>
      </c>
      <c r="Q2">
        <v>29</v>
      </c>
      <c r="R2">
        <v>215</v>
      </c>
      <c r="S2">
        <v>29</v>
      </c>
      <c r="T2">
        <v>46.279879240508301</v>
      </c>
      <c r="U2" t="s">
        <v>75</v>
      </c>
      <c r="V2">
        <v>0.226410360849925</v>
      </c>
      <c r="W2" t="s">
        <v>87</v>
      </c>
      <c r="X2" t="s">
        <v>95</v>
      </c>
      <c r="Y2">
        <v>187.75207545920301</v>
      </c>
      <c r="Z2" t="b">
        <f>TRUE()</f>
        <v>1</v>
      </c>
      <c r="AA2">
        <v>7.1999999999999995E-2</v>
      </c>
      <c r="AB2">
        <v>13.83</v>
      </c>
      <c r="AC2">
        <v>-3.2850000000000001</v>
      </c>
      <c r="AD2">
        <v>0.23400000000000001</v>
      </c>
    </row>
    <row r="3" spans="1:30" x14ac:dyDescent="0.3">
      <c r="A3" t="s">
        <v>28</v>
      </c>
      <c r="B3" t="s">
        <v>111</v>
      </c>
      <c r="C3">
        <v>14.8435232750843</v>
      </c>
      <c r="D3">
        <v>95</v>
      </c>
      <c r="E3">
        <v>736</v>
      </c>
      <c r="F3" s="26">
        <v>7460.9000654458396</v>
      </c>
      <c r="G3" t="s">
        <v>112</v>
      </c>
      <c r="H3">
        <v>53</v>
      </c>
      <c r="I3">
        <v>30</v>
      </c>
      <c r="J3">
        <v>37</v>
      </c>
      <c r="K3">
        <v>2</v>
      </c>
      <c r="L3" t="s">
        <v>86</v>
      </c>
      <c r="M3">
        <v>9.7165747714313095</v>
      </c>
      <c r="N3" t="s">
        <v>51</v>
      </c>
      <c r="O3" t="str">
        <f t="shared" ref="O3:O66" si="0">_xlfn.IFS(F3&gt;=5000,"avarage",F3&gt;=10000,"good",TRUE,"bad")</f>
        <v>avarage</v>
      </c>
      <c r="P3" t="s">
        <v>110</v>
      </c>
      <c r="Q3">
        <v>23</v>
      </c>
      <c r="R3">
        <v>517</v>
      </c>
      <c r="S3">
        <v>30</v>
      </c>
      <c r="T3">
        <v>33.616768953730002</v>
      </c>
      <c r="U3" t="s">
        <v>75</v>
      </c>
      <c r="V3">
        <v>4.8540680263886999</v>
      </c>
      <c r="W3" t="s">
        <v>87</v>
      </c>
      <c r="X3" t="s">
        <v>95</v>
      </c>
      <c r="Y3">
        <v>503.06557914966902</v>
      </c>
      <c r="Z3" t="b">
        <f>FALSE()</f>
        <v>0</v>
      </c>
      <c r="AA3">
        <v>7.1999999999999995E-2</v>
      </c>
      <c r="AB3">
        <v>13.89</v>
      </c>
      <c r="AC3">
        <v>-2.3159999999999998</v>
      </c>
      <c r="AD3">
        <v>0.68400000000000005</v>
      </c>
    </row>
    <row r="4" spans="1:30" x14ac:dyDescent="0.3">
      <c r="A4" t="s">
        <v>29</v>
      </c>
      <c r="B4" t="s">
        <v>113</v>
      </c>
      <c r="C4">
        <v>11.319683293090501</v>
      </c>
      <c r="D4">
        <v>34</v>
      </c>
      <c r="E4">
        <v>8</v>
      </c>
      <c r="F4" s="26">
        <v>9577.7496258687297</v>
      </c>
      <c r="G4" t="s">
        <v>114</v>
      </c>
      <c r="H4">
        <v>1</v>
      </c>
      <c r="I4">
        <v>10</v>
      </c>
      <c r="J4">
        <v>88</v>
      </c>
      <c r="K4">
        <v>2</v>
      </c>
      <c r="L4" t="s">
        <v>88</v>
      </c>
      <c r="M4">
        <v>8.0544792617321495</v>
      </c>
      <c r="N4" t="s">
        <v>58</v>
      </c>
      <c r="O4" t="str">
        <f t="shared" si="0"/>
        <v>avarage</v>
      </c>
      <c r="P4" t="s">
        <v>110</v>
      </c>
      <c r="Q4">
        <v>12</v>
      </c>
      <c r="R4">
        <v>971</v>
      </c>
      <c r="S4">
        <v>27</v>
      </c>
      <c r="T4">
        <v>30.6880193482842</v>
      </c>
      <c r="U4" t="s">
        <v>75</v>
      </c>
      <c r="V4">
        <v>4.5805926191992201</v>
      </c>
      <c r="W4" t="s">
        <v>85</v>
      </c>
      <c r="X4" t="s">
        <v>97</v>
      </c>
      <c r="Y4">
        <v>141.920281771519</v>
      </c>
      <c r="Z4" t="b">
        <f>TRUE()</f>
        <v>1</v>
      </c>
      <c r="AA4">
        <v>0.125</v>
      </c>
      <c r="AB4">
        <v>8</v>
      </c>
      <c r="AC4">
        <v>0.97399999999999998</v>
      </c>
      <c r="AD4">
        <v>17.739999999999998</v>
      </c>
    </row>
    <row r="5" spans="1:30" x14ac:dyDescent="0.3">
      <c r="A5" t="s">
        <v>28</v>
      </c>
      <c r="B5" t="s">
        <v>115</v>
      </c>
      <c r="C5">
        <v>61.1633430164377</v>
      </c>
      <c r="D5">
        <v>68</v>
      </c>
      <c r="E5">
        <v>83</v>
      </c>
      <c r="F5" s="26">
        <v>7766.8364256852301</v>
      </c>
      <c r="G5" t="s">
        <v>109</v>
      </c>
      <c r="H5">
        <v>23</v>
      </c>
      <c r="I5">
        <v>13</v>
      </c>
      <c r="J5">
        <v>59</v>
      </c>
      <c r="K5">
        <v>6</v>
      </c>
      <c r="L5" t="s">
        <v>84</v>
      </c>
      <c r="M5">
        <v>1.7295685635434199</v>
      </c>
      <c r="N5" t="s">
        <v>55</v>
      </c>
      <c r="O5" t="str">
        <f t="shared" si="0"/>
        <v>avarage</v>
      </c>
      <c r="P5" t="s">
        <v>116</v>
      </c>
      <c r="Q5">
        <v>24</v>
      </c>
      <c r="R5">
        <v>937</v>
      </c>
      <c r="S5">
        <v>18</v>
      </c>
      <c r="T5">
        <v>35.624741397125</v>
      </c>
      <c r="U5" t="s">
        <v>76</v>
      </c>
      <c r="V5">
        <v>4.7466486206477496</v>
      </c>
      <c r="W5" t="s">
        <v>89</v>
      </c>
      <c r="X5" t="s">
        <v>96</v>
      </c>
      <c r="Y5">
        <v>254.776159219286</v>
      </c>
      <c r="Z5" t="b">
        <f>TRUE()</f>
        <v>1</v>
      </c>
      <c r="AA5">
        <v>0.27700000000000002</v>
      </c>
      <c r="AB5">
        <v>3.61</v>
      </c>
      <c r="AC5">
        <v>0.61899999999999999</v>
      </c>
      <c r="AD5">
        <v>3.07</v>
      </c>
    </row>
    <row r="6" spans="1:30" x14ac:dyDescent="0.3">
      <c r="A6" t="s">
        <v>28</v>
      </c>
      <c r="B6" t="s">
        <v>117</v>
      </c>
      <c r="C6">
        <v>4.8054960363458896</v>
      </c>
      <c r="D6">
        <v>26</v>
      </c>
      <c r="E6">
        <v>871</v>
      </c>
      <c r="F6" s="26">
        <v>2686.50515156744</v>
      </c>
      <c r="G6" t="s">
        <v>109</v>
      </c>
      <c r="H6">
        <v>5</v>
      </c>
      <c r="I6">
        <v>3</v>
      </c>
      <c r="J6">
        <v>56</v>
      </c>
      <c r="K6">
        <v>8</v>
      </c>
      <c r="L6" t="s">
        <v>86</v>
      </c>
      <c r="M6">
        <v>3.8905479158706702</v>
      </c>
      <c r="N6" t="s">
        <v>58</v>
      </c>
      <c r="O6" t="str">
        <f t="shared" si="0"/>
        <v>bad</v>
      </c>
      <c r="P6" t="s">
        <v>118</v>
      </c>
      <c r="Q6">
        <v>5</v>
      </c>
      <c r="R6">
        <v>414</v>
      </c>
      <c r="S6">
        <v>3</v>
      </c>
      <c r="T6">
        <v>92.065160598712794</v>
      </c>
      <c r="U6" t="s">
        <v>76</v>
      </c>
      <c r="V6">
        <v>3.1455795228330001</v>
      </c>
      <c r="W6" t="s">
        <v>85</v>
      </c>
      <c r="X6" t="s">
        <v>96</v>
      </c>
      <c r="Y6">
        <v>923.44063171192204</v>
      </c>
      <c r="Z6" t="b">
        <f>TRUE()</f>
        <v>1</v>
      </c>
      <c r="AA6">
        <v>6.0000000000000001E-3</v>
      </c>
      <c r="AB6">
        <v>174.2</v>
      </c>
      <c r="AC6">
        <v>-28.849</v>
      </c>
      <c r="AD6">
        <v>1.06</v>
      </c>
    </row>
    <row r="7" spans="1:30" x14ac:dyDescent="0.3">
      <c r="A7" t="s">
        <v>29</v>
      </c>
      <c r="B7" t="s">
        <v>68</v>
      </c>
      <c r="C7">
        <v>1.6999760138659299</v>
      </c>
      <c r="D7">
        <v>87</v>
      </c>
      <c r="E7">
        <v>147</v>
      </c>
      <c r="F7" s="26">
        <v>2828.3487459757498</v>
      </c>
      <c r="G7" t="s">
        <v>109</v>
      </c>
      <c r="H7">
        <v>90</v>
      </c>
      <c r="I7">
        <v>27</v>
      </c>
      <c r="J7">
        <v>66</v>
      </c>
      <c r="K7">
        <v>3</v>
      </c>
      <c r="L7" t="s">
        <v>88</v>
      </c>
      <c r="M7">
        <v>4.4440988643822896</v>
      </c>
      <c r="N7" t="s">
        <v>56</v>
      </c>
      <c r="O7" t="str">
        <f t="shared" si="0"/>
        <v>bad</v>
      </c>
      <c r="P7" t="s">
        <v>119</v>
      </c>
      <c r="Q7">
        <v>10</v>
      </c>
      <c r="R7">
        <v>104</v>
      </c>
      <c r="S7">
        <v>17</v>
      </c>
      <c r="T7">
        <v>56.766475557431797</v>
      </c>
      <c r="U7" t="s">
        <v>76</v>
      </c>
      <c r="V7">
        <v>2.7791935115711599</v>
      </c>
      <c r="W7" t="s">
        <v>87</v>
      </c>
      <c r="X7" t="s">
        <v>96</v>
      </c>
      <c r="Y7">
        <v>235.461236735537</v>
      </c>
      <c r="Z7" t="b">
        <f>FALSE()</f>
        <v>0</v>
      </c>
      <c r="AA7">
        <v>0.61199999999999999</v>
      </c>
      <c r="AB7">
        <v>1.63</v>
      </c>
      <c r="AC7">
        <v>-1.95</v>
      </c>
      <c r="AD7">
        <v>1.6020000000000001</v>
      </c>
    </row>
    <row r="8" spans="1:30" x14ac:dyDescent="0.3">
      <c r="A8" t="s">
        <v>28</v>
      </c>
      <c r="B8" t="s">
        <v>120</v>
      </c>
      <c r="C8">
        <v>4.0783328631079403</v>
      </c>
      <c r="D8">
        <v>48</v>
      </c>
      <c r="E8">
        <v>65</v>
      </c>
      <c r="F8" s="26">
        <v>7823.4765595317303</v>
      </c>
      <c r="G8" t="s">
        <v>121</v>
      </c>
      <c r="H8">
        <v>11</v>
      </c>
      <c r="I8">
        <v>15</v>
      </c>
      <c r="J8">
        <v>58</v>
      </c>
      <c r="K8">
        <v>8</v>
      </c>
      <c r="L8" t="s">
        <v>84</v>
      </c>
      <c r="M8">
        <v>3.8807633029519999</v>
      </c>
      <c r="N8" t="s">
        <v>51</v>
      </c>
      <c r="O8" t="str">
        <f t="shared" si="0"/>
        <v>avarage</v>
      </c>
      <c r="P8" t="s">
        <v>116</v>
      </c>
      <c r="Q8">
        <v>14</v>
      </c>
      <c r="R8">
        <v>314</v>
      </c>
      <c r="S8">
        <v>24</v>
      </c>
      <c r="T8">
        <v>1.0850685695870601</v>
      </c>
      <c r="U8" t="s">
        <v>75</v>
      </c>
      <c r="V8">
        <v>1.0009106193041299</v>
      </c>
      <c r="W8" t="s">
        <v>90</v>
      </c>
      <c r="X8" t="s">
        <v>96</v>
      </c>
      <c r="Y8">
        <v>134.36909686103101</v>
      </c>
      <c r="Z8" t="b">
        <f>TRUE()</f>
        <v>1</v>
      </c>
      <c r="AA8">
        <v>0.16900000000000001</v>
      </c>
      <c r="AB8">
        <v>5.91</v>
      </c>
      <c r="AC8">
        <v>0.99099999999999999</v>
      </c>
      <c r="AD8">
        <v>2.0670000000000002</v>
      </c>
    </row>
    <row r="9" spans="1:30" x14ac:dyDescent="0.3">
      <c r="A9" t="s">
        <v>30</v>
      </c>
      <c r="B9" t="s">
        <v>63</v>
      </c>
      <c r="C9">
        <v>42.958384382459997</v>
      </c>
      <c r="D9">
        <v>59</v>
      </c>
      <c r="E9">
        <v>426</v>
      </c>
      <c r="F9" s="26">
        <v>8496.1038130898305</v>
      </c>
      <c r="G9" t="s">
        <v>112</v>
      </c>
      <c r="H9">
        <v>93</v>
      </c>
      <c r="I9">
        <v>17</v>
      </c>
      <c r="J9">
        <v>11</v>
      </c>
      <c r="K9">
        <v>1</v>
      </c>
      <c r="L9" t="s">
        <v>88</v>
      </c>
      <c r="M9">
        <v>2.3483387844177801</v>
      </c>
      <c r="N9" t="s">
        <v>56</v>
      </c>
      <c r="O9" t="str">
        <f t="shared" si="0"/>
        <v>avarage</v>
      </c>
      <c r="P9" t="s">
        <v>119</v>
      </c>
      <c r="Q9">
        <v>22</v>
      </c>
      <c r="R9">
        <v>564</v>
      </c>
      <c r="S9">
        <v>1</v>
      </c>
      <c r="T9">
        <v>99.466108603599096</v>
      </c>
      <c r="U9" t="s">
        <v>76</v>
      </c>
      <c r="V9">
        <v>0.39817718685065001</v>
      </c>
      <c r="W9" t="s">
        <v>87</v>
      </c>
      <c r="X9" t="s">
        <v>97</v>
      </c>
      <c r="Y9">
        <v>802.05631181755803</v>
      </c>
      <c r="Z9" t="b">
        <f>FALSE()</f>
        <v>0</v>
      </c>
      <c r="AA9">
        <v>0.218</v>
      </c>
      <c r="AB9">
        <v>4.58</v>
      </c>
      <c r="AC9">
        <v>-3.9870000000000001</v>
      </c>
      <c r="AD9">
        <v>1.883</v>
      </c>
    </row>
    <row r="10" spans="1:30" x14ac:dyDescent="0.3">
      <c r="A10" t="s">
        <v>30</v>
      </c>
      <c r="B10" t="s">
        <v>122</v>
      </c>
      <c r="C10">
        <v>68.717596748527299</v>
      </c>
      <c r="D10">
        <v>78</v>
      </c>
      <c r="E10">
        <v>150</v>
      </c>
      <c r="F10" s="26">
        <v>7517.3632106311197</v>
      </c>
      <c r="G10" t="s">
        <v>112</v>
      </c>
      <c r="H10">
        <v>5</v>
      </c>
      <c r="I10">
        <v>10</v>
      </c>
      <c r="J10">
        <v>15</v>
      </c>
      <c r="K10">
        <v>7</v>
      </c>
      <c r="L10" t="s">
        <v>84</v>
      </c>
      <c r="M10">
        <v>3.4047338570830199</v>
      </c>
      <c r="N10" t="s">
        <v>56</v>
      </c>
      <c r="O10" t="str">
        <f t="shared" si="0"/>
        <v>avarage</v>
      </c>
      <c r="P10" t="s">
        <v>110</v>
      </c>
      <c r="Q10">
        <v>13</v>
      </c>
      <c r="R10">
        <v>769</v>
      </c>
      <c r="S10">
        <v>8</v>
      </c>
      <c r="T10">
        <v>11.423027139565599</v>
      </c>
      <c r="U10" t="s">
        <v>75</v>
      </c>
      <c r="V10">
        <v>2.7098626911099601</v>
      </c>
      <c r="W10" t="s">
        <v>90</v>
      </c>
      <c r="X10" t="s">
        <v>95</v>
      </c>
      <c r="Y10">
        <v>505.55713422546398</v>
      </c>
      <c r="Z10" t="b">
        <f>TRUE()</f>
        <v>1</v>
      </c>
      <c r="AA10">
        <v>3.3000000000000002E-2</v>
      </c>
      <c r="AB10">
        <v>30</v>
      </c>
      <c r="AC10">
        <v>0.77200000000000002</v>
      </c>
      <c r="AD10">
        <v>3.37</v>
      </c>
    </row>
    <row r="11" spans="1:30" x14ac:dyDescent="0.3">
      <c r="A11" t="s">
        <v>28</v>
      </c>
      <c r="B11" t="s">
        <v>36</v>
      </c>
      <c r="C11">
        <v>64.0157329412785</v>
      </c>
      <c r="D11">
        <v>35</v>
      </c>
      <c r="E11">
        <v>980</v>
      </c>
      <c r="F11" s="26">
        <v>4971.1459875855498</v>
      </c>
      <c r="G11" t="s">
        <v>114</v>
      </c>
      <c r="H11">
        <v>14</v>
      </c>
      <c r="I11">
        <v>27</v>
      </c>
      <c r="J11">
        <v>83</v>
      </c>
      <c r="K11">
        <v>1</v>
      </c>
      <c r="L11" t="s">
        <v>86</v>
      </c>
      <c r="M11">
        <v>7.1666452910482104</v>
      </c>
      <c r="N11" t="s">
        <v>53</v>
      </c>
      <c r="O11" t="str">
        <f t="shared" si="0"/>
        <v>bad</v>
      </c>
      <c r="P11" t="s">
        <v>123</v>
      </c>
      <c r="Q11">
        <v>29</v>
      </c>
      <c r="R11">
        <v>963</v>
      </c>
      <c r="S11">
        <v>23</v>
      </c>
      <c r="T11">
        <v>47.957601634951502</v>
      </c>
      <c r="U11" t="s">
        <v>75</v>
      </c>
      <c r="V11">
        <v>3.8446144787675798</v>
      </c>
      <c r="W11" t="s">
        <v>89</v>
      </c>
      <c r="X11" t="s">
        <v>95</v>
      </c>
      <c r="Y11">
        <v>995.92946149864099</v>
      </c>
      <c r="Z11" t="b">
        <f>TRUE()</f>
        <v>1</v>
      </c>
      <c r="AA11">
        <v>1.4E-2</v>
      </c>
      <c r="AB11">
        <v>70</v>
      </c>
      <c r="AC11">
        <v>-8.4540000000000006</v>
      </c>
      <c r="AD11">
        <v>1.016</v>
      </c>
    </row>
    <row r="12" spans="1:30" x14ac:dyDescent="0.3">
      <c r="A12" t="s">
        <v>28</v>
      </c>
      <c r="B12" t="s">
        <v>34</v>
      </c>
      <c r="C12">
        <v>15.707795681912099</v>
      </c>
      <c r="D12">
        <v>11</v>
      </c>
      <c r="E12">
        <v>996</v>
      </c>
      <c r="F12" s="26">
        <v>2330.9658020919401</v>
      </c>
      <c r="G12" t="s">
        <v>109</v>
      </c>
      <c r="H12">
        <v>51</v>
      </c>
      <c r="I12">
        <v>13</v>
      </c>
      <c r="J12">
        <v>80</v>
      </c>
      <c r="K12">
        <v>2</v>
      </c>
      <c r="L12" t="s">
        <v>84</v>
      </c>
      <c r="M12">
        <v>8.6732112112786108</v>
      </c>
      <c r="N12" t="s">
        <v>55</v>
      </c>
      <c r="O12" t="str">
        <f t="shared" si="0"/>
        <v>bad</v>
      </c>
      <c r="P12" t="s">
        <v>116</v>
      </c>
      <c r="Q12">
        <v>18</v>
      </c>
      <c r="R12">
        <v>830</v>
      </c>
      <c r="S12">
        <v>5</v>
      </c>
      <c r="T12">
        <v>96.527352785310896</v>
      </c>
      <c r="U12" t="s">
        <v>77</v>
      </c>
      <c r="V12">
        <v>1.72731392835594</v>
      </c>
      <c r="W12" t="s">
        <v>87</v>
      </c>
      <c r="X12" t="s">
        <v>95</v>
      </c>
      <c r="Y12">
        <v>806.10317770292295</v>
      </c>
      <c r="Z12" t="b">
        <f>TRUE()</f>
        <v>1</v>
      </c>
      <c r="AA12">
        <v>5.0999999999999997E-2</v>
      </c>
      <c r="AB12">
        <v>19.53</v>
      </c>
      <c r="AC12">
        <v>-40.244999999999997</v>
      </c>
      <c r="AD12">
        <v>0.80900000000000005</v>
      </c>
    </row>
    <row r="13" spans="1:30" x14ac:dyDescent="0.3">
      <c r="A13" t="s">
        <v>28</v>
      </c>
      <c r="B13" t="s">
        <v>39</v>
      </c>
      <c r="C13">
        <v>90.635459982288594</v>
      </c>
      <c r="D13">
        <v>95</v>
      </c>
      <c r="E13">
        <v>960</v>
      </c>
      <c r="F13" s="26">
        <v>6099.9441155814502</v>
      </c>
      <c r="G13" t="s">
        <v>112</v>
      </c>
      <c r="H13">
        <v>46</v>
      </c>
      <c r="I13">
        <v>23</v>
      </c>
      <c r="J13">
        <v>60</v>
      </c>
      <c r="K13">
        <v>1</v>
      </c>
      <c r="L13" t="s">
        <v>86</v>
      </c>
      <c r="M13">
        <v>4.5239431243166601</v>
      </c>
      <c r="N13" t="s">
        <v>53</v>
      </c>
      <c r="O13" t="str">
        <f t="shared" si="0"/>
        <v>avarage</v>
      </c>
      <c r="P13" t="s">
        <v>116</v>
      </c>
      <c r="Q13">
        <v>28</v>
      </c>
      <c r="R13">
        <v>362</v>
      </c>
      <c r="S13">
        <v>11</v>
      </c>
      <c r="T13">
        <v>27.5923630866636</v>
      </c>
      <c r="U13" t="s">
        <v>75</v>
      </c>
      <c r="V13">
        <v>2.1169821372994301E-2</v>
      </c>
      <c r="W13" t="s">
        <v>85</v>
      </c>
      <c r="X13" t="s">
        <v>96</v>
      </c>
      <c r="Y13">
        <v>126.72303340940699</v>
      </c>
      <c r="Z13" t="b">
        <f>TRUE()</f>
        <v>1</v>
      </c>
      <c r="AA13">
        <v>4.8000000000000001E-2</v>
      </c>
      <c r="AB13">
        <v>20.87</v>
      </c>
      <c r="AC13">
        <v>-3.3420000000000001</v>
      </c>
      <c r="AD13">
        <v>0.13200000000000001</v>
      </c>
    </row>
    <row r="14" spans="1:30" x14ac:dyDescent="0.3">
      <c r="A14" t="s">
        <v>29</v>
      </c>
      <c r="B14" t="s">
        <v>50</v>
      </c>
      <c r="C14">
        <v>71.213389075359999</v>
      </c>
      <c r="D14">
        <v>41</v>
      </c>
      <c r="E14">
        <v>336</v>
      </c>
      <c r="F14" s="26">
        <v>2873.74144602144</v>
      </c>
      <c r="G14" t="s">
        <v>114</v>
      </c>
      <c r="H14">
        <v>100</v>
      </c>
      <c r="I14">
        <v>30</v>
      </c>
      <c r="J14">
        <v>85</v>
      </c>
      <c r="K14">
        <v>4</v>
      </c>
      <c r="L14" t="s">
        <v>86</v>
      </c>
      <c r="M14">
        <v>1.32527401018452</v>
      </c>
      <c r="N14" t="s">
        <v>56</v>
      </c>
      <c r="O14" t="str">
        <f t="shared" si="0"/>
        <v>bad</v>
      </c>
      <c r="P14" t="s">
        <v>116</v>
      </c>
      <c r="Q14">
        <v>3</v>
      </c>
      <c r="R14">
        <v>563</v>
      </c>
      <c r="S14">
        <v>3</v>
      </c>
      <c r="T14">
        <v>32.321286213424003</v>
      </c>
      <c r="U14" t="s">
        <v>76</v>
      </c>
      <c r="V14">
        <v>2.1612537475559099</v>
      </c>
      <c r="W14" t="s">
        <v>87</v>
      </c>
      <c r="X14" t="s">
        <v>95</v>
      </c>
      <c r="Y14">
        <v>402.96878907376998</v>
      </c>
      <c r="Z14" t="b">
        <f>FALSE()</f>
        <v>0</v>
      </c>
      <c r="AA14">
        <v>0.29799999999999999</v>
      </c>
      <c r="AB14">
        <v>3.36</v>
      </c>
      <c r="AC14">
        <v>-2.7789999999999999</v>
      </c>
      <c r="AD14">
        <v>1.1990000000000001</v>
      </c>
    </row>
    <row r="15" spans="1:30" x14ac:dyDescent="0.3">
      <c r="A15" t="s">
        <v>28</v>
      </c>
      <c r="B15" t="s">
        <v>124</v>
      </c>
      <c r="C15">
        <v>16.160393317379899</v>
      </c>
      <c r="D15">
        <v>5</v>
      </c>
      <c r="E15">
        <v>249</v>
      </c>
      <c r="F15" s="26">
        <v>4052.7384162378598</v>
      </c>
      <c r="G15" t="s">
        <v>121</v>
      </c>
      <c r="H15">
        <v>80</v>
      </c>
      <c r="I15">
        <v>8</v>
      </c>
      <c r="J15">
        <v>48</v>
      </c>
      <c r="K15">
        <v>9</v>
      </c>
      <c r="L15" t="s">
        <v>86</v>
      </c>
      <c r="M15">
        <v>9.5372830611083295</v>
      </c>
      <c r="N15" t="s">
        <v>55</v>
      </c>
      <c r="O15" t="str">
        <f t="shared" si="0"/>
        <v>bad</v>
      </c>
      <c r="P15" t="s">
        <v>119</v>
      </c>
      <c r="Q15">
        <v>23</v>
      </c>
      <c r="R15">
        <v>173</v>
      </c>
      <c r="S15">
        <v>10</v>
      </c>
      <c r="T15">
        <v>97.829050110173199</v>
      </c>
      <c r="U15" t="s">
        <v>75</v>
      </c>
      <c r="V15">
        <v>1.63107423007153</v>
      </c>
      <c r="W15" t="s">
        <v>87</v>
      </c>
      <c r="X15" t="s">
        <v>95</v>
      </c>
      <c r="Y15">
        <v>547.24100516096803</v>
      </c>
      <c r="Z15" t="b">
        <f>FALSE()</f>
        <v>0</v>
      </c>
      <c r="AA15">
        <v>0.32100000000000001</v>
      </c>
      <c r="AB15">
        <v>3.11</v>
      </c>
      <c r="AC15">
        <v>-5.0110000000000001</v>
      </c>
      <c r="AD15">
        <v>2.198</v>
      </c>
    </row>
    <row r="16" spans="1:30" x14ac:dyDescent="0.3">
      <c r="A16" t="s">
        <v>28</v>
      </c>
      <c r="B16" t="s">
        <v>125</v>
      </c>
      <c r="C16">
        <v>99.171328638624104</v>
      </c>
      <c r="D16">
        <v>26</v>
      </c>
      <c r="E16">
        <v>562</v>
      </c>
      <c r="F16" s="26">
        <v>8653.5709264697998</v>
      </c>
      <c r="G16" t="s">
        <v>109</v>
      </c>
      <c r="H16">
        <v>54</v>
      </c>
      <c r="I16">
        <v>29</v>
      </c>
      <c r="J16">
        <v>78</v>
      </c>
      <c r="K16">
        <v>5</v>
      </c>
      <c r="L16" t="s">
        <v>88</v>
      </c>
      <c r="M16">
        <v>2.0397701894493299</v>
      </c>
      <c r="N16" t="s">
        <v>58</v>
      </c>
      <c r="O16" t="str">
        <f t="shared" si="0"/>
        <v>avarage</v>
      </c>
      <c r="P16" t="s">
        <v>116</v>
      </c>
      <c r="Q16">
        <v>25</v>
      </c>
      <c r="R16">
        <v>558</v>
      </c>
      <c r="S16">
        <v>14</v>
      </c>
      <c r="T16">
        <v>5.7914366298629796</v>
      </c>
      <c r="U16" t="s">
        <v>75</v>
      </c>
      <c r="V16">
        <v>0.100682851565093</v>
      </c>
      <c r="W16" t="s">
        <v>85</v>
      </c>
      <c r="X16" t="s">
        <v>95</v>
      </c>
      <c r="Y16">
        <v>929.23528996088896</v>
      </c>
      <c r="Z16" t="b">
        <f>TRUE()</f>
        <v>1</v>
      </c>
      <c r="AA16">
        <v>9.6000000000000002E-2</v>
      </c>
      <c r="AB16">
        <v>10.41</v>
      </c>
      <c r="AC16">
        <v>0.624</v>
      </c>
      <c r="AD16">
        <v>1.653</v>
      </c>
    </row>
    <row r="17" spans="1:30" x14ac:dyDescent="0.3">
      <c r="A17" t="s">
        <v>28</v>
      </c>
      <c r="B17" t="s">
        <v>126</v>
      </c>
      <c r="C17">
        <v>36.989244928626903</v>
      </c>
      <c r="D17">
        <v>94</v>
      </c>
      <c r="E17">
        <v>469</v>
      </c>
      <c r="F17" s="26">
        <v>5442.0867853976697</v>
      </c>
      <c r="G17" t="s">
        <v>109</v>
      </c>
      <c r="H17">
        <v>9</v>
      </c>
      <c r="I17">
        <v>8</v>
      </c>
      <c r="J17">
        <v>69</v>
      </c>
      <c r="K17">
        <v>7</v>
      </c>
      <c r="L17" t="s">
        <v>88</v>
      </c>
      <c r="M17">
        <v>2.4220397232752</v>
      </c>
      <c r="N17" t="s">
        <v>58</v>
      </c>
      <c r="O17" t="str">
        <f t="shared" si="0"/>
        <v>avarage</v>
      </c>
      <c r="P17" t="s">
        <v>119</v>
      </c>
      <c r="Q17">
        <v>14</v>
      </c>
      <c r="R17">
        <v>580</v>
      </c>
      <c r="S17">
        <v>7</v>
      </c>
      <c r="T17">
        <v>97.121281751474299</v>
      </c>
      <c r="U17" t="s">
        <v>77</v>
      </c>
      <c r="V17">
        <v>2.2644057611985402</v>
      </c>
      <c r="W17" t="s">
        <v>90</v>
      </c>
      <c r="X17" t="s">
        <v>95</v>
      </c>
      <c r="Y17">
        <v>127.861800001625</v>
      </c>
      <c r="Z17" t="b">
        <f>TRUE()</f>
        <v>1</v>
      </c>
      <c r="AA17">
        <v>1.9E-2</v>
      </c>
      <c r="AB17">
        <v>52.11</v>
      </c>
      <c r="AC17">
        <v>-7.37</v>
      </c>
      <c r="AD17">
        <v>0.27300000000000002</v>
      </c>
    </row>
    <row r="18" spans="1:30" x14ac:dyDescent="0.3">
      <c r="A18" t="s">
        <v>28</v>
      </c>
      <c r="B18" t="s">
        <v>127</v>
      </c>
      <c r="C18">
        <v>7.5471721097912701</v>
      </c>
      <c r="D18">
        <v>74</v>
      </c>
      <c r="E18">
        <v>280</v>
      </c>
      <c r="F18" s="26">
        <v>6453.7979681762799</v>
      </c>
      <c r="G18" t="s">
        <v>112</v>
      </c>
      <c r="H18">
        <v>2</v>
      </c>
      <c r="I18">
        <v>5</v>
      </c>
      <c r="J18">
        <v>78</v>
      </c>
      <c r="K18">
        <v>1</v>
      </c>
      <c r="L18" t="s">
        <v>88</v>
      </c>
      <c r="M18">
        <v>4.1913245857054999</v>
      </c>
      <c r="N18" t="s">
        <v>58</v>
      </c>
      <c r="O18" t="str">
        <f t="shared" si="0"/>
        <v>avarage</v>
      </c>
      <c r="P18" t="s">
        <v>119</v>
      </c>
      <c r="Q18">
        <v>3</v>
      </c>
      <c r="R18">
        <v>399</v>
      </c>
      <c r="S18">
        <v>21</v>
      </c>
      <c r="T18">
        <v>77.106342497849994</v>
      </c>
      <c r="U18" t="s">
        <v>77</v>
      </c>
      <c r="V18">
        <v>1.01256308925804</v>
      </c>
      <c r="W18" t="s">
        <v>85</v>
      </c>
      <c r="X18" t="s">
        <v>96</v>
      </c>
      <c r="Y18">
        <v>865.52577977123997</v>
      </c>
      <c r="Z18" t="b">
        <f>TRUE()</f>
        <v>1</v>
      </c>
      <c r="AA18">
        <v>7.0000000000000001E-3</v>
      </c>
      <c r="AB18">
        <v>140</v>
      </c>
      <c r="AC18">
        <v>-2.3450000000000002</v>
      </c>
      <c r="AD18">
        <v>3.0910000000000002</v>
      </c>
    </row>
    <row r="19" spans="1:30" x14ac:dyDescent="0.3">
      <c r="A19" t="s">
        <v>30</v>
      </c>
      <c r="B19" t="s">
        <v>128</v>
      </c>
      <c r="C19">
        <v>81.462534369237005</v>
      </c>
      <c r="D19">
        <v>82</v>
      </c>
      <c r="E19">
        <v>126</v>
      </c>
      <c r="F19" s="26">
        <v>2629.39643484526</v>
      </c>
      <c r="G19" t="s">
        <v>112</v>
      </c>
      <c r="H19">
        <v>45</v>
      </c>
      <c r="I19">
        <v>17</v>
      </c>
      <c r="J19">
        <v>85</v>
      </c>
      <c r="K19">
        <v>9</v>
      </c>
      <c r="L19" t="s">
        <v>84</v>
      </c>
      <c r="M19">
        <v>3.5854189582323399</v>
      </c>
      <c r="N19" t="s">
        <v>58</v>
      </c>
      <c r="O19" t="str">
        <f t="shared" si="0"/>
        <v>bad</v>
      </c>
      <c r="P19" t="s">
        <v>123</v>
      </c>
      <c r="Q19">
        <v>7</v>
      </c>
      <c r="R19">
        <v>453</v>
      </c>
      <c r="S19">
        <v>16</v>
      </c>
      <c r="T19">
        <v>47.679680368355299</v>
      </c>
      <c r="U19" t="s">
        <v>76</v>
      </c>
      <c r="V19">
        <v>0.102020754918176</v>
      </c>
      <c r="W19" t="s">
        <v>85</v>
      </c>
      <c r="X19" t="s">
        <v>97</v>
      </c>
      <c r="Y19">
        <v>670.93439079241</v>
      </c>
      <c r="Z19" t="b">
        <f>TRUE()</f>
        <v>1</v>
      </c>
      <c r="AA19">
        <v>0.35699999999999998</v>
      </c>
      <c r="AB19">
        <v>2.8</v>
      </c>
      <c r="AC19">
        <v>-1.2849999999999999</v>
      </c>
      <c r="AD19">
        <v>5.3250000000000002</v>
      </c>
    </row>
    <row r="20" spans="1:30" x14ac:dyDescent="0.3">
      <c r="A20" t="s">
        <v>29</v>
      </c>
      <c r="B20" t="s">
        <v>129</v>
      </c>
      <c r="C20">
        <v>36.4436277704609</v>
      </c>
      <c r="D20">
        <v>23</v>
      </c>
      <c r="E20">
        <v>620</v>
      </c>
      <c r="F20" s="26">
        <v>9364.6735050761708</v>
      </c>
      <c r="G20" t="s">
        <v>114</v>
      </c>
      <c r="H20">
        <v>10</v>
      </c>
      <c r="I20">
        <v>10</v>
      </c>
      <c r="J20">
        <v>46</v>
      </c>
      <c r="K20">
        <v>8</v>
      </c>
      <c r="L20" t="s">
        <v>84</v>
      </c>
      <c r="M20">
        <v>4.3392247141107001</v>
      </c>
      <c r="N20" t="s">
        <v>53</v>
      </c>
      <c r="O20" t="str">
        <f t="shared" si="0"/>
        <v>avarage</v>
      </c>
      <c r="P20" t="s">
        <v>116</v>
      </c>
      <c r="Q20">
        <v>18</v>
      </c>
      <c r="R20">
        <v>374</v>
      </c>
      <c r="S20">
        <v>17</v>
      </c>
      <c r="T20">
        <v>27.107980854843898</v>
      </c>
      <c r="U20" t="s">
        <v>75</v>
      </c>
      <c r="V20">
        <v>2.2319391107292601</v>
      </c>
      <c r="W20" t="s">
        <v>90</v>
      </c>
      <c r="X20" t="s">
        <v>96</v>
      </c>
      <c r="Y20">
        <v>593.48025872065102</v>
      </c>
      <c r="Z20" t="b">
        <f>TRUE()</f>
        <v>1</v>
      </c>
      <c r="AA20">
        <v>1.6E-2</v>
      </c>
      <c r="AB20">
        <v>62</v>
      </c>
      <c r="AC20">
        <v>-0.79500000000000004</v>
      </c>
      <c r="AD20">
        <v>0.95699999999999996</v>
      </c>
    </row>
    <row r="21" spans="1:30" x14ac:dyDescent="0.3">
      <c r="A21" t="s">
        <v>28</v>
      </c>
      <c r="B21" t="s">
        <v>130</v>
      </c>
      <c r="C21">
        <v>51.123870087964697</v>
      </c>
      <c r="D21">
        <v>100</v>
      </c>
      <c r="E21">
        <v>187</v>
      </c>
      <c r="F21" s="26">
        <v>2553.4955849912099</v>
      </c>
      <c r="G21" t="s">
        <v>114</v>
      </c>
      <c r="H21">
        <v>48</v>
      </c>
      <c r="I21">
        <v>11</v>
      </c>
      <c r="J21">
        <v>94</v>
      </c>
      <c r="K21">
        <v>3</v>
      </c>
      <c r="L21" t="s">
        <v>86</v>
      </c>
      <c r="M21">
        <v>4.7426358828418698</v>
      </c>
      <c r="N21" t="s">
        <v>56</v>
      </c>
      <c r="O21" t="str">
        <f t="shared" si="0"/>
        <v>bad</v>
      </c>
      <c r="P21" t="s">
        <v>123</v>
      </c>
      <c r="Q21">
        <v>20</v>
      </c>
      <c r="R21">
        <v>694</v>
      </c>
      <c r="S21">
        <v>16</v>
      </c>
      <c r="T21">
        <v>82.373320587990193</v>
      </c>
      <c r="U21" t="s">
        <v>76</v>
      </c>
      <c r="V21">
        <v>3.64645086541702</v>
      </c>
      <c r="W21" t="s">
        <v>87</v>
      </c>
      <c r="X21" t="s">
        <v>97</v>
      </c>
      <c r="Y21">
        <v>477.30763109090299</v>
      </c>
      <c r="Z21" t="b">
        <f>TRUE()</f>
        <v>1</v>
      </c>
      <c r="AA21">
        <v>0.25700000000000001</v>
      </c>
      <c r="AB21">
        <v>3.9</v>
      </c>
      <c r="AC21">
        <v>-5.032</v>
      </c>
      <c r="AD21">
        <v>2.552</v>
      </c>
    </row>
    <row r="22" spans="1:30" x14ac:dyDescent="0.3">
      <c r="A22" t="s">
        <v>28</v>
      </c>
      <c r="B22" t="s">
        <v>131</v>
      </c>
      <c r="C22">
        <v>96.341072439963298</v>
      </c>
      <c r="D22">
        <v>22</v>
      </c>
      <c r="E22">
        <v>320</v>
      </c>
      <c r="F22" s="26">
        <v>8128.0276968511898</v>
      </c>
      <c r="G22" t="s">
        <v>114</v>
      </c>
      <c r="H22">
        <v>27</v>
      </c>
      <c r="I22">
        <v>12</v>
      </c>
      <c r="J22">
        <v>68</v>
      </c>
      <c r="K22">
        <v>6</v>
      </c>
      <c r="L22" t="s">
        <v>86</v>
      </c>
      <c r="M22">
        <v>8.8783346509268402</v>
      </c>
      <c r="N22" t="s">
        <v>58</v>
      </c>
      <c r="O22" t="str">
        <f t="shared" si="0"/>
        <v>avarage</v>
      </c>
      <c r="P22" t="s">
        <v>123</v>
      </c>
      <c r="Q22">
        <v>29</v>
      </c>
      <c r="R22">
        <v>309</v>
      </c>
      <c r="S22">
        <v>6</v>
      </c>
      <c r="T22">
        <v>65.686259608488598</v>
      </c>
      <c r="U22" t="s">
        <v>77</v>
      </c>
      <c r="V22">
        <v>4.2314165735345304</v>
      </c>
      <c r="W22" t="s">
        <v>85</v>
      </c>
      <c r="X22" t="s">
        <v>95</v>
      </c>
      <c r="Y22">
        <v>493.871215316205</v>
      </c>
      <c r="Z22" t="b">
        <f>TRUE()</f>
        <v>1</v>
      </c>
      <c r="AA22">
        <v>8.4000000000000005E-2</v>
      </c>
      <c r="AB22">
        <v>11.85</v>
      </c>
      <c r="AC22">
        <v>-1.5860000000000001</v>
      </c>
      <c r="AD22">
        <v>1.5429999999999999</v>
      </c>
    </row>
    <row r="23" spans="1:30" x14ac:dyDescent="0.3">
      <c r="A23" t="s">
        <v>30</v>
      </c>
      <c r="B23" t="s">
        <v>132</v>
      </c>
      <c r="C23">
        <v>84.893868984950799</v>
      </c>
      <c r="D23">
        <v>60</v>
      </c>
      <c r="E23">
        <v>601</v>
      </c>
      <c r="F23" s="26">
        <v>7087.0526963574302</v>
      </c>
      <c r="G23" t="s">
        <v>114</v>
      </c>
      <c r="H23">
        <v>69</v>
      </c>
      <c r="I23">
        <v>25</v>
      </c>
      <c r="J23">
        <v>7</v>
      </c>
      <c r="K23">
        <v>6</v>
      </c>
      <c r="L23" t="s">
        <v>88</v>
      </c>
      <c r="M23">
        <v>6.0378837692182898</v>
      </c>
      <c r="N23" t="s">
        <v>55</v>
      </c>
      <c r="O23" t="str">
        <f t="shared" si="0"/>
        <v>avarage</v>
      </c>
      <c r="P23" t="s">
        <v>123</v>
      </c>
      <c r="Q23">
        <v>19</v>
      </c>
      <c r="R23">
        <v>791</v>
      </c>
      <c r="S23">
        <v>4</v>
      </c>
      <c r="T23">
        <v>61.735728954160898</v>
      </c>
      <c r="U23" t="s">
        <v>75</v>
      </c>
      <c r="V23">
        <v>1.8607567631014899E-2</v>
      </c>
      <c r="W23" t="s">
        <v>85</v>
      </c>
      <c r="X23" t="s">
        <v>97</v>
      </c>
      <c r="Y23">
        <v>523.36091472015801</v>
      </c>
      <c r="Z23" t="b">
        <f>FALSE()</f>
        <v>0</v>
      </c>
      <c r="AA23">
        <v>0.115</v>
      </c>
      <c r="AB23">
        <v>8.7100000000000009</v>
      </c>
      <c r="AC23">
        <v>-4.2350000000000003</v>
      </c>
      <c r="AD23">
        <v>0.871</v>
      </c>
    </row>
    <row r="24" spans="1:30" x14ac:dyDescent="0.3">
      <c r="A24" t="s">
        <v>29</v>
      </c>
      <c r="B24" t="s">
        <v>133</v>
      </c>
      <c r="C24">
        <v>27.679780886501899</v>
      </c>
      <c r="D24">
        <v>55</v>
      </c>
      <c r="E24">
        <v>884</v>
      </c>
      <c r="F24" s="26">
        <v>2390.8078665561702</v>
      </c>
      <c r="G24" t="s">
        <v>114</v>
      </c>
      <c r="H24">
        <v>71</v>
      </c>
      <c r="I24">
        <v>1</v>
      </c>
      <c r="J24">
        <v>63</v>
      </c>
      <c r="K24">
        <v>10</v>
      </c>
      <c r="L24" t="s">
        <v>86</v>
      </c>
      <c r="M24">
        <v>9.5676489209230393</v>
      </c>
      <c r="N24" t="s">
        <v>56</v>
      </c>
      <c r="O24" t="str">
        <f t="shared" si="0"/>
        <v>bad</v>
      </c>
      <c r="P24" t="s">
        <v>116</v>
      </c>
      <c r="Q24">
        <v>22</v>
      </c>
      <c r="R24">
        <v>780</v>
      </c>
      <c r="S24">
        <v>28</v>
      </c>
      <c r="T24">
        <v>50.120839612977299</v>
      </c>
      <c r="U24" t="s">
        <v>76</v>
      </c>
      <c r="V24">
        <v>2.5912754732111098</v>
      </c>
      <c r="W24" t="s">
        <v>89</v>
      </c>
      <c r="X24" t="s">
        <v>97</v>
      </c>
      <c r="Y24">
        <v>205.57199582694699</v>
      </c>
      <c r="Z24" t="b">
        <f>FALSE()</f>
        <v>0</v>
      </c>
      <c r="AA24">
        <v>0.08</v>
      </c>
      <c r="AB24">
        <v>12.45</v>
      </c>
      <c r="AC24">
        <v>-17.532</v>
      </c>
      <c r="AD24">
        <v>0.23300000000000001</v>
      </c>
    </row>
    <row r="25" spans="1:30" x14ac:dyDescent="0.3">
      <c r="A25" t="s">
        <v>30</v>
      </c>
      <c r="B25" t="s">
        <v>134</v>
      </c>
      <c r="C25">
        <v>4.3243411858641601</v>
      </c>
      <c r="D25">
        <v>30</v>
      </c>
      <c r="E25">
        <v>391</v>
      </c>
      <c r="F25" s="26">
        <v>8858.3675710114803</v>
      </c>
      <c r="G25" t="s">
        <v>114</v>
      </c>
      <c r="H25">
        <v>84</v>
      </c>
      <c r="I25">
        <v>5</v>
      </c>
      <c r="J25">
        <v>29</v>
      </c>
      <c r="K25">
        <v>7</v>
      </c>
      <c r="L25" t="s">
        <v>86</v>
      </c>
      <c r="M25">
        <v>2.92485760114555</v>
      </c>
      <c r="N25" t="s">
        <v>55</v>
      </c>
      <c r="O25" t="str">
        <f t="shared" si="0"/>
        <v>avarage</v>
      </c>
      <c r="P25" t="s">
        <v>116</v>
      </c>
      <c r="Q25">
        <v>11</v>
      </c>
      <c r="R25">
        <v>568</v>
      </c>
      <c r="S25">
        <v>29</v>
      </c>
      <c r="T25">
        <v>98.6099572427038</v>
      </c>
      <c r="U25" t="s">
        <v>75</v>
      </c>
      <c r="V25">
        <v>1.3422915627227301</v>
      </c>
      <c r="W25" t="s">
        <v>89</v>
      </c>
      <c r="X25" t="s">
        <v>96</v>
      </c>
      <c r="Y25">
        <v>196.329446112412</v>
      </c>
      <c r="Z25" t="b">
        <f>FALSE()</f>
        <v>0</v>
      </c>
      <c r="AA25">
        <v>0.215</v>
      </c>
      <c r="AB25">
        <v>4.6500000000000004</v>
      </c>
      <c r="AC25">
        <v>-3.3530000000000002</v>
      </c>
      <c r="AD25">
        <v>0.502</v>
      </c>
    </row>
    <row r="26" spans="1:30" x14ac:dyDescent="0.3">
      <c r="A26" t="s">
        <v>29</v>
      </c>
      <c r="B26" t="s">
        <v>135</v>
      </c>
      <c r="C26">
        <v>4.1563083593111001</v>
      </c>
      <c r="D26">
        <v>32</v>
      </c>
      <c r="E26">
        <v>209</v>
      </c>
      <c r="F26" s="26">
        <v>9049.0778609398894</v>
      </c>
      <c r="G26" t="s">
        <v>121</v>
      </c>
      <c r="H26">
        <v>4</v>
      </c>
      <c r="I26">
        <v>26</v>
      </c>
      <c r="J26">
        <v>2</v>
      </c>
      <c r="K26">
        <v>8</v>
      </c>
      <c r="L26" t="s">
        <v>84</v>
      </c>
      <c r="M26">
        <v>9.7412916892843597</v>
      </c>
      <c r="N26" t="s">
        <v>53</v>
      </c>
      <c r="O26" t="str">
        <f t="shared" si="0"/>
        <v>avarage</v>
      </c>
      <c r="P26" t="s">
        <v>119</v>
      </c>
      <c r="Q26">
        <v>28</v>
      </c>
      <c r="R26">
        <v>447</v>
      </c>
      <c r="S26">
        <v>3</v>
      </c>
      <c r="T26">
        <v>40.382359702924802</v>
      </c>
      <c r="U26" t="s">
        <v>75</v>
      </c>
      <c r="V26">
        <v>3.69131029262872</v>
      </c>
      <c r="W26" t="s">
        <v>85</v>
      </c>
      <c r="X26" t="s">
        <v>96</v>
      </c>
      <c r="Y26">
        <v>758.72477260293795</v>
      </c>
      <c r="Z26" t="b">
        <f>FALSE()</f>
        <v>0</v>
      </c>
      <c r="AA26">
        <v>1.9E-2</v>
      </c>
      <c r="AB26">
        <v>52.25</v>
      </c>
      <c r="AC26">
        <v>6.7000000000000004E-2</v>
      </c>
      <c r="AD26">
        <v>3.63</v>
      </c>
    </row>
    <row r="27" spans="1:30" x14ac:dyDescent="0.3">
      <c r="A27" t="s">
        <v>29</v>
      </c>
      <c r="B27" t="s">
        <v>136</v>
      </c>
      <c r="C27">
        <v>39.629343985092603</v>
      </c>
      <c r="D27">
        <v>73</v>
      </c>
      <c r="E27">
        <v>142</v>
      </c>
      <c r="F27" s="26">
        <v>2174.7770543506499</v>
      </c>
      <c r="G27" t="s">
        <v>121</v>
      </c>
      <c r="H27">
        <v>82</v>
      </c>
      <c r="I27">
        <v>11</v>
      </c>
      <c r="J27">
        <v>52</v>
      </c>
      <c r="K27">
        <v>3</v>
      </c>
      <c r="L27" t="s">
        <v>84</v>
      </c>
      <c r="M27">
        <v>2.2310736812817198</v>
      </c>
      <c r="N27" t="s">
        <v>56</v>
      </c>
      <c r="O27" t="str">
        <f t="shared" si="0"/>
        <v>bad</v>
      </c>
      <c r="P27" t="s">
        <v>116</v>
      </c>
      <c r="Q27">
        <v>19</v>
      </c>
      <c r="R27">
        <v>934</v>
      </c>
      <c r="S27">
        <v>23</v>
      </c>
      <c r="T27">
        <v>78.280383118415301</v>
      </c>
      <c r="U27" t="s">
        <v>75</v>
      </c>
      <c r="V27">
        <v>3.79723121711418</v>
      </c>
      <c r="W27" t="s">
        <v>87</v>
      </c>
      <c r="X27" t="s">
        <v>95</v>
      </c>
      <c r="Y27">
        <v>458.53594573920901</v>
      </c>
      <c r="Z27" t="b">
        <f>FALSE()</f>
        <v>0</v>
      </c>
      <c r="AA27">
        <v>0.57699999999999996</v>
      </c>
      <c r="AB27">
        <v>1.73</v>
      </c>
      <c r="AC27">
        <v>-4.1109999999999998</v>
      </c>
      <c r="AD27">
        <v>3.2290000000000001</v>
      </c>
    </row>
    <row r="28" spans="1:30" x14ac:dyDescent="0.3">
      <c r="A28" t="s">
        <v>29</v>
      </c>
      <c r="B28" t="s">
        <v>137</v>
      </c>
      <c r="C28">
        <v>97.446946617892806</v>
      </c>
      <c r="D28">
        <v>9</v>
      </c>
      <c r="E28">
        <v>353</v>
      </c>
      <c r="F28" s="26">
        <v>3716.49332589403</v>
      </c>
      <c r="G28" t="s">
        <v>121</v>
      </c>
      <c r="H28">
        <v>59</v>
      </c>
      <c r="I28">
        <v>16</v>
      </c>
      <c r="J28">
        <v>48</v>
      </c>
      <c r="K28">
        <v>4</v>
      </c>
      <c r="L28" t="s">
        <v>88</v>
      </c>
      <c r="M28">
        <v>6.5075486210785503</v>
      </c>
      <c r="N28" t="s">
        <v>53</v>
      </c>
      <c r="O28" t="str">
        <f t="shared" si="0"/>
        <v>bad</v>
      </c>
      <c r="P28" t="s">
        <v>119</v>
      </c>
      <c r="Q28">
        <v>26</v>
      </c>
      <c r="R28">
        <v>171</v>
      </c>
      <c r="S28">
        <v>4</v>
      </c>
      <c r="T28">
        <v>15.972229757181699</v>
      </c>
      <c r="U28" t="s">
        <v>77</v>
      </c>
      <c r="V28">
        <v>2.1193197367249201</v>
      </c>
      <c r="W28" t="s">
        <v>89</v>
      </c>
      <c r="X28" t="s">
        <v>96</v>
      </c>
      <c r="Y28">
        <v>617.86691645837698</v>
      </c>
      <c r="Z28" t="b">
        <f>FALSE()</f>
        <v>0</v>
      </c>
      <c r="AA28">
        <v>0.16700000000000001</v>
      </c>
      <c r="AB28">
        <v>5.98</v>
      </c>
      <c r="AC28">
        <v>-0.51700000000000002</v>
      </c>
      <c r="AD28">
        <v>1.75</v>
      </c>
    </row>
    <row r="29" spans="1:30" x14ac:dyDescent="0.3">
      <c r="A29" t="s">
        <v>30</v>
      </c>
      <c r="B29" t="s">
        <v>138</v>
      </c>
      <c r="C29">
        <v>92.557360812401996</v>
      </c>
      <c r="D29">
        <v>42</v>
      </c>
      <c r="E29">
        <v>352</v>
      </c>
      <c r="F29" s="26">
        <v>2686.4572235759802</v>
      </c>
      <c r="G29" t="s">
        <v>114</v>
      </c>
      <c r="H29">
        <v>47</v>
      </c>
      <c r="I29">
        <v>9</v>
      </c>
      <c r="J29">
        <v>62</v>
      </c>
      <c r="K29">
        <v>8</v>
      </c>
      <c r="L29" t="s">
        <v>84</v>
      </c>
      <c r="M29">
        <v>7.4067509529980704</v>
      </c>
      <c r="N29" t="s">
        <v>55</v>
      </c>
      <c r="O29" t="str">
        <f t="shared" si="0"/>
        <v>bad</v>
      </c>
      <c r="P29" t="s">
        <v>110</v>
      </c>
      <c r="Q29">
        <v>25</v>
      </c>
      <c r="R29">
        <v>291</v>
      </c>
      <c r="S29">
        <v>4</v>
      </c>
      <c r="T29">
        <v>10.5282450700421</v>
      </c>
      <c r="U29" t="s">
        <v>76</v>
      </c>
      <c r="V29">
        <v>2.8646678378833701</v>
      </c>
      <c r="W29" t="s">
        <v>90</v>
      </c>
      <c r="X29" t="s">
        <v>95</v>
      </c>
      <c r="Y29">
        <v>762.45918215568304</v>
      </c>
      <c r="Z29" t="b">
        <f>TRUE()</f>
        <v>1</v>
      </c>
      <c r="AA29">
        <v>0.13400000000000001</v>
      </c>
      <c r="AB29">
        <v>7.49</v>
      </c>
      <c r="AC29">
        <v>-0.379</v>
      </c>
      <c r="AD29">
        <v>2.1659999999999999</v>
      </c>
    </row>
    <row r="30" spans="1:30" x14ac:dyDescent="0.3">
      <c r="A30" t="s">
        <v>30</v>
      </c>
      <c r="B30" t="s">
        <v>139</v>
      </c>
      <c r="C30">
        <v>2.3972747055971402</v>
      </c>
      <c r="D30">
        <v>12</v>
      </c>
      <c r="E30">
        <v>394</v>
      </c>
      <c r="F30" s="26">
        <v>6117.3246150839896</v>
      </c>
      <c r="G30" t="s">
        <v>112</v>
      </c>
      <c r="H30">
        <v>48</v>
      </c>
      <c r="I30">
        <v>15</v>
      </c>
      <c r="J30">
        <v>24</v>
      </c>
      <c r="K30">
        <v>4</v>
      </c>
      <c r="L30" t="s">
        <v>88</v>
      </c>
      <c r="M30">
        <v>9.8981405080692202</v>
      </c>
      <c r="N30" t="s">
        <v>58</v>
      </c>
      <c r="O30" t="str">
        <f t="shared" si="0"/>
        <v>avarage</v>
      </c>
      <c r="P30" t="s">
        <v>110</v>
      </c>
      <c r="Q30">
        <v>13</v>
      </c>
      <c r="R30">
        <v>171</v>
      </c>
      <c r="S30">
        <v>7</v>
      </c>
      <c r="T30">
        <v>59.429381810691503</v>
      </c>
      <c r="U30" t="s">
        <v>76</v>
      </c>
      <c r="V30">
        <v>0.81575707929567198</v>
      </c>
      <c r="W30" t="s">
        <v>85</v>
      </c>
      <c r="X30" t="s">
        <v>96</v>
      </c>
      <c r="Y30">
        <v>123.437027511827</v>
      </c>
      <c r="Z30" t="b">
        <f>FALSE()</f>
        <v>0</v>
      </c>
      <c r="AA30">
        <v>0.122</v>
      </c>
      <c r="AB30">
        <v>8.2100000000000009</v>
      </c>
      <c r="AC30">
        <v>-2.8279999999999998</v>
      </c>
      <c r="AD30">
        <v>0.313</v>
      </c>
    </row>
    <row r="31" spans="1:30" x14ac:dyDescent="0.3">
      <c r="A31" t="s">
        <v>30</v>
      </c>
      <c r="B31" t="s">
        <v>140</v>
      </c>
      <c r="C31">
        <v>63.447559185207297</v>
      </c>
      <c r="D31">
        <v>3</v>
      </c>
      <c r="E31">
        <v>253</v>
      </c>
      <c r="F31" s="26">
        <v>8318.9031946171708</v>
      </c>
      <c r="G31" t="s">
        <v>112</v>
      </c>
      <c r="H31">
        <v>45</v>
      </c>
      <c r="I31">
        <v>5</v>
      </c>
      <c r="J31">
        <v>67</v>
      </c>
      <c r="K31">
        <v>7</v>
      </c>
      <c r="L31" t="s">
        <v>88</v>
      </c>
      <c r="M31">
        <v>8.1009731453970293</v>
      </c>
      <c r="N31" t="s">
        <v>58</v>
      </c>
      <c r="O31" t="str">
        <f t="shared" si="0"/>
        <v>avarage</v>
      </c>
      <c r="P31" t="s">
        <v>116</v>
      </c>
      <c r="Q31">
        <v>16</v>
      </c>
      <c r="R31">
        <v>329</v>
      </c>
      <c r="S31">
        <v>7</v>
      </c>
      <c r="T31">
        <v>39.292875586065698</v>
      </c>
      <c r="U31" t="s">
        <v>77</v>
      </c>
      <c r="V31">
        <v>3.8780989365884802</v>
      </c>
      <c r="W31" t="s">
        <v>87</v>
      </c>
      <c r="X31" t="s">
        <v>95</v>
      </c>
      <c r="Y31">
        <v>764.93537594070801</v>
      </c>
      <c r="Z31" t="b">
        <f>TRUE()</f>
        <v>1</v>
      </c>
      <c r="AA31">
        <v>0.17799999999999999</v>
      </c>
      <c r="AB31">
        <v>5.62</v>
      </c>
      <c r="AC31">
        <v>-0.19500000000000001</v>
      </c>
      <c r="AD31">
        <v>3.0230000000000001</v>
      </c>
    </row>
    <row r="32" spans="1:30" x14ac:dyDescent="0.3">
      <c r="A32" t="s">
        <v>29</v>
      </c>
      <c r="B32" t="s">
        <v>141</v>
      </c>
      <c r="C32">
        <v>8.0228592105263896</v>
      </c>
      <c r="D32">
        <v>10</v>
      </c>
      <c r="E32">
        <v>327</v>
      </c>
      <c r="F32" s="26">
        <v>2766.3423668660798</v>
      </c>
      <c r="G32" t="s">
        <v>121</v>
      </c>
      <c r="H32">
        <v>60</v>
      </c>
      <c r="I32">
        <v>26</v>
      </c>
      <c r="J32">
        <v>35</v>
      </c>
      <c r="K32">
        <v>7</v>
      </c>
      <c r="L32" t="s">
        <v>88</v>
      </c>
      <c r="M32">
        <v>8.9545283153180097</v>
      </c>
      <c r="N32" t="s">
        <v>56</v>
      </c>
      <c r="O32" t="str">
        <f t="shared" si="0"/>
        <v>bad</v>
      </c>
      <c r="P32" t="s">
        <v>116</v>
      </c>
      <c r="Q32">
        <v>27</v>
      </c>
      <c r="R32">
        <v>806</v>
      </c>
      <c r="S32">
        <v>30</v>
      </c>
      <c r="T32">
        <v>51.634893400109299</v>
      </c>
      <c r="U32" t="s">
        <v>75</v>
      </c>
      <c r="V32">
        <v>0.96539470535239302</v>
      </c>
      <c r="W32" t="s">
        <v>87</v>
      </c>
      <c r="X32" t="s">
        <v>97</v>
      </c>
      <c r="Y32">
        <v>880.08098824716103</v>
      </c>
      <c r="Z32" t="b">
        <f>FALSE()</f>
        <v>0</v>
      </c>
      <c r="AA32">
        <v>0.183</v>
      </c>
      <c r="AB32">
        <v>5.45</v>
      </c>
      <c r="AC32">
        <v>-5.1040000000000001</v>
      </c>
      <c r="AD32">
        <v>2.6909999999999998</v>
      </c>
    </row>
    <row r="33" spans="1:30" x14ac:dyDescent="0.3">
      <c r="A33" t="s">
        <v>28</v>
      </c>
      <c r="B33" t="s">
        <v>142</v>
      </c>
      <c r="C33">
        <v>50.847393051718697</v>
      </c>
      <c r="D33">
        <v>28</v>
      </c>
      <c r="E33">
        <v>168</v>
      </c>
      <c r="F33" s="26">
        <v>9655.1351027193905</v>
      </c>
      <c r="G33" t="s">
        <v>121</v>
      </c>
      <c r="H33">
        <v>6</v>
      </c>
      <c r="I33">
        <v>17</v>
      </c>
      <c r="J33">
        <v>44</v>
      </c>
      <c r="K33">
        <v>4</v>
      </c>
      <c r="L33" t="s">
        <v>88</v>
      </c>
      <c r="M33">
        <v>2.6796609649813998</v>
      </c>
      <c r="N33" t="s">
        <v>51</v>
      </c>
      <c r="O33" t="str">
        <f t="shared" si="0"/>
        <v>avarage</v>
      </c>
      <c r="P33" t="s">
        <v>123</v>
      </c>
      <c r="Q33">
        <v>24</v>
      </c>
      <c r="R33">
        <v>461</v>
      </c>
      <c r="S33">
        <v>8</v>
      </c>
      <c r="T33">
        <v>60.251145661598002</v>
      </c>
      <c r="U33" t="s">
        <v>75</v>
      </c>
      <c r="V33">
        <v>2.9890000066550702</v>
      </c>
      <c r="W33" t="s">
        <v>89</v>
      </c>
      <c r="X33" t="s">
        <v>97</v>
      </c>
      <c r="Y33">
        <v>609.379206618426</v>
      </c>
      <c r="Z33" t="b">
        <f>TRUE()</f>
        <v>1</v>
      </c>
      <c r="AA33">
        <v>3.5999999999999997E-2</v>
      </c>
      <c r="AB33">
        <v>28</v>
      </c>
      <c r="AC33">
        <v>-4.8000000000000001E-2</v>
      </c>
      <c r="AD33">
        <v>3.6269999999999998</v>
      </c>
    </row>
    <row r="34" spans="1:30" x14ac:dyDescent="0.3">
      <c r="A34" t="s">
        <v>28</v>
      </c>
      <c r="B34" t="s">
        <v>143</v>
      </c>
      <c r="C34">
        <v>79.209936015656695</v>
      </c>
      <c r="D34">
        <v>43</v>
      </c>
      <c r="E34">
        <v>781</v>
      </c>
      <c r="F34" s="26">
        <v>9571.5504873278096</v>
      </c>
      <c r="G34" t="s">
        <v>114</v>
      </c>
      <c r="H34">
        <v>89</v>
      </c>
      <c r="I34">
        <v>13</v>
      </c>
      <c r="J34">
        <v>64</v>
      </c>
      <c r="K34">
        <v>4</v>
      </c>
      <c r="L34" t="s">
        <v>84</v>
      </c>
      <c r="M34">
        <v>6.5991049012385803</v>
      </c>
      <c r="N34" t="s">
        <v>51</v>
      </c>
      <c r="O34" t="str">
        <f t="shared" si="0"/>
        <v>avarage</v>
      </c>
      <c r="P34" t="s">
        <v>116</v>
      </c>
      <c r="Q34">
        <v>30</v>
      </c>
      <c r="R34">
        <v>737</v>
      </c>
      <c r="S34">
        <v>7</v>
      </c>
      <c r="T34">
        <v>29.6924671537497</v>
      </c>
      <c r="U34" t="s">
        <v>77</v>
      </c>
      <c r="V34">
        <v>1.94603611938611</v>
      </c>
      <c r="W34" t="s">
        <v>87</v>
      </c>
      <c r="X34" t="s">
        <v>96</v>
      </c>
      <c r="Y34">
        <v>761.17390951487698</v>
      </c>
      <c r="Z34" t="b">
        <f>FALSE()</f>
        <v>0</v>
      </c>
      <c r="AA34">
        <v>0.114</v>
      </c>
      <c r="AB34">
        <v>8.7799999999999994</v>
      </c>
      <c r="AC34">
        <v>-1.423</v>
      </c>
      <c r="AD34">
        <v>0.97499999999999998</v>
      </c>
    </row>
    <row r="35" spans="1:30" x14ac:dyDescent="0.3">
      <c r="A35" t="s">
        <v>30</v>
      </c>
      <c r="B35" t="s">
        <v>144</v>
      </c>
      <c r="C35">
        <v>64.795435000155607</v>
      </c>
      <c r="D35">
        <v>63</v>
      </c>
      <c r="E35">
        <v>616</v>
      </c>
      <c r="F35" s="26">
        <v>5149.9983504080301</v>
      </c>
      <c r="G35" t="s">
        <v>109</v>
      </c>
      <c r="H35">
        <v>4</v>
      </c>
      <c r="I35">
        <v>17</v>
      </c>
      <c r="J35">
        <v>95</v>
      </c>
      <c r="K35">
        <v>9</v>
      </c>
      <c r="L35" t="s">
        <v>84</v>
      </c>
      <c r="M35">
        <v>4.85827050343664</v>
      </c>
      <c r="N35" t="s">
        <v>55</v>
      </c>
      <c r="O35" t="str">
        <f t="shared" si="0"/>
        <v>avarage</v>
      </c>
      <c r="P35" t="s">
        <v>123</v>
      </c>
      <c r="Q35">
        <v>1</v>
      </c>
      <c r="R35">
        <v>251</v>
      </c>
      <c r="S35">
        <v>23</v>
      </c>
      <c r="T35">
        <v>23.853427512896101</v>
      </c>
      <c r="U35" t="s">
        <v>76</v>
      </c>
      <c r="V35">
        <v>3.54104601225092</v>
      </c>
      <c r="W35" t="s">
        <v>90</v>
      </c>
      <c r="X35" t="s">
        <v>96</v>
      </c>
      <c r="Y35">
        <v>371.25529551987103</v>
      </c>
      <c r="Z35" t="b">
        <f>TRUE()</f>
        <v>1</v>
      </c>
      <c r="AA35">
        <v>6.0000000000000001E-3</v>
      </c>
      <c r="AB35">
        <v>154</v>
      </c>
      <c r="AC35">
        <v>-1.853</v>
      </c>
      <c r="AD35">
        <v>0.60299999999999998</v>
      </c>
    </row>
    <row r="36" spans="1:30" x14ac:dyDescent="0.3">
      <c r="A36" t="s">
        <v>28</v>
      </c>
      <c r="B36" t="s">
        <v>145</v>
      </c>
      <c r="C36">
        <v>37.467592329842397</v>
      </c>
      <c r="D36">
        <v>96</v>
      </c>
      <c r="E36">
        <v>602</v>
      </c>
      <c r="F36" s="26">
        <v>9061.7108955077201</v>
      </c>
      <c r="G36" t="s">
        <v>114</v>
      </c>
      <c r="H36">
        <v>1</v>
      </c>
      <c r="I36">
        <v>26</v>
      </c>
      <c r="J36">
        <v>21</v>
      </c>
      <c r="K36">
        <v>7</v>
      </c>
      <c r="L36" t="s">
        <v>86</v>
      </c>
      <c r="M36">
        <v>1.0194875708221101</v>
      </c>
      <c r="N36" t="s">
        <v>58</v>
      </c>
      <c r="O36" t="str">
        <f t="shared" si="0"/>
        <v>avarage</v>
      </c>
      <c r="P36" t="s">
        <v>123</v>
      </c>
      <c r="Q36">
        <v>4</v>
      </c>
      <c r="R36">
        <v>452</v>
      </c>
      <c r="S36">
        <v>10</v>
      </c>
      <c r="T36">
        <v>10.754272815029299</v>
      </c>
      <c r="U36" t="s">
        <v>77</v>
      </c>
      <c r="V36">
        <v>0.64660455937205397</v>
      </c>
      <c r="W36" t="s">
        <v>87</v>
      </c>
      <c r="X36" t="s">
        <v>95</v>
      </c>
      <c r="Y36">
        <v>510.35800043352299</v>
      </c>
      <c r="Z36" t="b">
        <f>TRUE()</f>
        <v>1</v>
      </c>
      <c r="AA36">
        <v>2E-3</v>
      </c>
      <c r="AB36">
        <v>602</v>
      </c>
      <c r="AC36">
        <v>0.28599999999999998</v>
      </c>
      <c r="AD36">
        <v>0.84799999999999998</v>
      </c>
    </row>
    <row r="37" spans="1:30" x14ac:dyDescent="0.3">
      <c r="A37" t="s">
        <v>30</v>
      </c>
      <c r="B37" t="s">
        <v>146</v>
      </c>
      <c r="C37">
        <v>84.957786816350406</v>
      </c>
      <c r="D37">
        <v>11</v>
      </c>
      <c r="E37">
        <v>449</v>
      </c>
      <c r="F37" s="26">
        <v>6541.3293448024597</v>
      </c>
      <c r="G37" t="s">
        <v>112</v>
      </c>
      <c r="H37">
        <v>42</v>
      </c>
      <c r="I37">
        <v>27</v>
      </c>
      <c r="J37">
        <v>85</v>
      </c>
      <c r="K37">
        <v>8</v>
      </c>
      <c r="L37" t="s">
        <v>84</v>
      </c>
      <c r="M37">
        <v>5.2881899903273997</v>
      </c>
      <c r="N37" t="s">
        <v>58</v>
      </c>
      <c r="O37" t="str">
        <f t="shared" si="0"/>
        <v>avarage</v>
      </c>
      <c r="P37" t="s">
        <v>118</v>
      </c>
      <c r="Q37">
        <v>3</v>
      </c>
      <c r="R37">
        <v>367</v>
      </c>
      <c r="S37">
        <v>2</v>
      </c>
      <c r="T37">
        <v>58.004787044743701</v>
      </c>
      <c r="U37" t="s">
        <v>77</v>
      </c>
      <c r="V37">
        <v>0.54115409806058101</v>
      </c>
      <c r="W37" t="s">
        <v>90</v>
      </c>
      <c r="X37" t="s">
        <v>97</v>
      </c>
      <c r="Y37">
        <v>553.42047123035502</v>
      </c>
      <c r="Z37" t="b">
        <f>TRUE()</f>
        <v>1</v>
      </c>
      <c r="AA37">
        <v>9.4E-2</v>
      </c>
      <c r="AB37">
        <v>10.69</v>
      </c>
      <c r="AC37">
        <v>-2.9809999999999999</v>
      </c>
      <c r="AD37">
        <v>1.2330000000000001</v>
      </c>
    </row>
    <row r="38" spans="1:30" x14ac:dyDescent="0.3">
      <c r="A38" t="s">
        <v>28</v>
      </c>
      <c r="B38" t="s">
        <v>37</v>
      </c>
      <c r="C38">
        <v>9.81300257875405</v>
      </c>
      <c r="D38">
        <v>34</v>
      </c>
      <c r="E38">
        <v>963</v>
      </c>
      <c r="F38" s="26">
        <v>7573.4024578487297</v>
      </c>
      <c r="G38" t="s">
        <v>112</v>
      </c>
      <c r="H38">
        <v>18</v>
      </c>
      <c r="I38">
        <v>23</v>
      </c>
      <c r="J38">
        <v>28</v>
      </c>
      <c r="K38">
        <v>3</v>
      </c>
      <c r="L38" t="s">
        <v>88</v>
      </c>
      <c r="M38">
        <v>2.1079512671590801</v>
      </c>
      <c r="N38" t="s">
        <v>53</v>
      </c>
      <c r="O38" t="str">
        <f t="shared" si="0"/>
        <v>avarage</v>
      </c>
      <c r="P38" t="s">
        <v>118</v>
      </c>
      <c r="Q38">
        <v>26</v>
      </c>
      <c r="R38">
        <v>671</v>
      </c>
      <c r="S38">
        <v>19</v>
      </c>
      <c r="T38">
        <v>45.531364237162101</v>
      </c>
      <c r="U38" t="s">
        <v>76</v>
      </c>
      <c r="V38">
        <v>3.8055333792433501</v>
      </c>
      <c r="W38" t="s">
        <v>85</v>
      </c>
      <c r="X38" t="s">
        <v>97</v>
      </c>
      <c r="Y38">
        <v>403.80897424817999</v>
      </c>
      <c r="Z38" t="b">
        <f>TRUE()</f>
        <v>1</v>
      </c>
      <c r="AA38">
        <v>1.9E-2</v>
      </c>
      <c r="AB38">
        <v>53.5</v>
      </c>
      <c r="AC38">
        <v>-4.79</v>
      </c>
      <c r="AD38">
        <v>0.41899999999999998</v>
      </c>
    </row>
    <row r="39" spans="1:30" x14ac:dyDescent="0.3">
      <c r="A39" t="s">
        <v>28</v>
      </c>
      <c r="B39" t="s">
        <v>38</v>
      </c>
      <c r="C39">
        <v>23.3998447526143</v>
      </c>
      <c r="D39">
        <v>5</v>
      </c>
      <c r="E39">
        <v>963</v>
      </c>
      <c r="F39" s="26">
        <v>2438.3399304700201</v>
      </c>
      <c r="G39" t="s">
        <v>112</v>
      </c>
      <c r="H39">
        <v>25</v>
      </c>
      <c r="I39">
        <v>8</v>
      </c>
      <c r="J39">
        <v>21</v>
      </c>
      <c r="K39">
        <v>9</v>
      </c>
      <c r="L39" t="s">
        <v>86</v>
      </c>
      <c r="M39">
        <v>1.53265527359043</v>
      </c>
      <c r="N39" t="s">
        <v>51</v>
      </c>
      <c r="O39" t="str">
        <f t="shared" si="0"/>
        <v>bad</v>
      </c>
      <c r="P39" t="s">
        <v>116</v>
      </c>
      <c r="Q39">
        <v>24</v>
      </c>
      <c r="R39">
        <v>867</v>
      </c>
      <c r="S39">
        <v>15</v>
      </c>
      <c r="T39">
        <v>34.343277465075303</v>
      </c>
      <c r="U39" t="s">
        <v>75</v>
      </c>
      <c r="V39">
        <v>2.61028808484811</v>
      </c>
      <c r="W39" t="s">
        <v>90</v>
      </c>
      <c r="X39" t="s">
        <v>96</v>
      </c>
      <c r="Y39">
        <v>183.932968043594</v>
      </c>
      <c r="Z39" t="b">
        <f>FALSE()</f>
        <v>0</v>
      </c>
      <c r="AA39">
        <v>2.5999999999999999E-2</v>
      </c>
      <c r="AB39">
        <v>38.520000000000003</v>
      </c>
      <c r="AC39">
        <v>-12.564</v>
      </c>
      <c r="AD39">
        <v>0.191</v>
      </c>
    </row>
    <row r="40" spans="1:30" x14ac:dyDescent="0.3">
      <c r="A40" t="s">
        <v>30</v>
      </c>
      <c r="B40" t="s">
        <v>147</v>
      </c>
      <c r="C40">
        <v>52.075930682707799</v>
      </c>
      <c r="D40">
        <v>75</v>
      </c>
      <c r="E40">
        <v>705</v>
      </c>
      <c r="F40" s="26">
        <v>9692.3180402184298</v>
      </c>
      <c r="G40" t="s">
        <v>109</v>
      </c>
      <c r="H40">
        <v>69</v>
      </c>
      <c r="I40">
        <v>1</v>
      </c>
      <c r="J40">
        <v>88</v>
      </c>
      <c r="K40">
        <v>5</v>
      </c>
      <c r="L40" t="s">
        <v>88</v>
      </c>
      <c r="M40">
        <v>9.2359314372492207</v>
      </c>
      <c r="N40" t="s">
        <v>55</v>
      </c>
      <c r="O40" t="str">
        <f t="shared" si="0"/>
        <v>avarage</v>
      </c>
      <c r="P40" t="s">
        <v>110</v>
      </c>
      <c r="Q40">
        <v>10</v>
      </c>
      <c r="R40">
        <v>841</v>
      </c>
      <c r="S40">
        <v>12</v>
      </c>
      <c r="T40">
        <v>5.9306936455283097</v>
      </c>
      <c r="U40" t="s">
        <v>75</v>
      </c>
      <c r="V40">
        <v>0.613326899164507</v>
      </c>
      <c r="W40" t="s">
        <v>85</v>
      </c>
      <c r="X40" t="s">
        <v>95</v>
      </c>
      <c r="Y40">
        <v>339.67286994860598</v>
      </c>
      <c r="Z40" t="b">
        <f>TRUE()</f>
        <v>1</v>
      </c>
      <c r="AA40">
        <v>9.8000000000000004E-2</v>
      </c>
      <c r="AB40">
        <v>10.220000000000001</v>
      </c>
      <c r="AC40">
        <v>0.56899999999999995</v>
      </c>
      <c r="AD40">
        <v>0.48199999999999998</v>
      </c>
    </row>
    <row r="41" spans="1:30" x14ac:dyDescent="0.3">
      <c r="A41" t="s">
        <v>28</v>
      </c>
      <c r="B41" t="s">
        <v>148</v>
      </c>
      <c r="C41">
        <v>19.127477265823199</v>
      </c>
      <c r="D41">
        <v>26</v>
      </c>
      <c r="E41">
        <v>176</v>
      </c>
      <c r="F41" s="26">
        <v>1912.4656631007599</v>
      </c>
      <c r="G41" t="s">
        <v>112</v>
      </c>
      <c r="H41">
        <v>78</v>
      </c>
      <c r="I41">
        <v>29</v>
      </c>
      <c r="J41">
        <v>34</v>
      </c>
      <c r="K41">
        <v>3</v>
      </c>
      <c r="L41" t="s">
        <v>86</v>
      </c>
      <c r="M41">
        <v>5.5625037788303802</v>
      </c>
      <c r="N41" t="s">
        <v>53</v>
      </c>
      <c r="O41" t="str">
        <f t="shared" si="0"/>
        <v>bad</v>
      </c>
      <c r="P41" t="s">
        <v>116</v>
      </c>
      <c r="Q41">
        <v>30</v>
      </c>
      <c r="R41">
        <v>791</v>
      </c>
      <c r="S41">
        <v>6</v>
      </c>
      <c r="T41">
        <v>9.0058074287816403</v>
      </c>
      <c r="U41" t="s">
        <v>76</v>
      </c>
      <c r="V41">
        <v>1.4519722039968099</v>
      </c>
      <c r="W41" t="s">
        <v>85</v>
      </c>
      <c r="X41" t="s">
        <v>95</v>
      </c>
      <c r="Y41">
        <v>653.67299455203295</v>
      </c>
      <c r="Z41" t="b">
        <f>FALSE()</f>
        <v>0</v>
      </c>
      <c r="AA41">
        <v>0.443</v>
      </c>
      <c r="AB41">
        <v>2.2599999999999998</v>
      </c>
      <c r="AC41">
        <v>0.17100000000000001</v>
      </c>
      <c r="AD41">
        <v>3.714</v>
      </c>
    </row>
    <row r="42" spans="1:30" x14ac:dyDescent="0.3">
      <c r="A42" t="s">
        <v>28</v>
      </c>
      <c r="B42" t="s">
        <v>41</v>
      </c>
      <c r="C42">
        <v>80.541424170940303</v>
      </c>
      <c r="D42">
        <v>97</v>
      </c>
      <c r="E42">
        <v>933</v>
      </c>
      <c r="F42" s="26">
        <v>5724.9593504562599</v>
      </c>
      <c r="G42" t="s">
        <v>112</v>
      </c>
      <c r="H42">
        <v>90</v>
      </c>
      <c r="I42">
        <v>20</v>
      </c>
      <c r="J42">
        <v>39</v>
      </c>
      <c r="K42">
        <v>8</v>
      </c>
      <c r="L42" t="s">
        <v>84</v>
      </c>
      <c r="M42">
        <v>7.2295951397364702</v>
      </c>
      <c r="N42" t="s">
        <v>58</v>
      </c>
      <c r="O42" t="str">
        <f t="shared" si="0"/>
        <v>avarage</v>
      </c>
      <c r="P42" t="s">
        <v>116</v>
      </c>
      <c r="Q42">
        <v>18</v>
      </c>
      <c r="R42">
        <v>793</v>
      </c>
      <c r="S42">
        <v>1</v>
      </c>
      <c r="T42">
        <v>88.179407104217404</v>
      </c>
      <c r="U42" t="s">
        <v>75</v>
      </c>
      <c r="V42">
        <v>4.2132694305865597</v>
      </c>
      <c r="W42" t="s">
        <v>87</v>
      </c>
      <c r="X42" t="s">
        <v>96</v>
      </c>
      <c r="Y42">
        <v>529.80872398069096</v>
      </c>
      <c r="Z42" t="b">
        <f>FALSE()</f>
        <v>0</v>
      </c>
      <c r="AA42">
        <v>9.6000000000000002E-2</v>
      </c>
      <c r="AB42">
        <v>10.37</v>
      </c>
      <c r="AC42">
        <v>-13.371</v>
      </c>
      <c r="AD42">
        <v>0.56799999999999995</v>
      </c>
    </row>
    <row r="43" spans="1:30" x14ac:dyDescent="0.3">
      <c r="A43" t="s">
        <v>28</v>
      </c>
      <c r="B43" t="s">
        <v>149</v>
      </c>
      <c r="C43">
        <v>99.113291615317095</v>
      </c>
      <c r="D43">
        <v>35</v>
      </c>
      <c r="E43">
        <v>556</v>
      </c>
      <c r="F43" s="26">
        <v>5521.2052590109697</v>
      </c>
      <c r="G43" t="s">
        <v>112</v>
      </c>
      <c r="H43">
        <v>64</v>
      </c>
      <c r="I43">
        <v>19</v>
      </c>
      <c r="J43">
        <v>38</v>
      </c>
      <c r="K43">
        <v>8</v>
      </c>
      <c r="L43" t="s">
        <v>88</v>
      </c>
      <c r="M43">
        <v>5.7732637437666501</v>
      </c>
      <c r="N43" t="s">
        <v>56</v>
      </c>
      <c r="O43" t="str">
        <f t="shared" si="0"/>
        <v>avarage</v>
      </c>
      <c r="P43" t="s">
        <v>123</v>
      </c>
      <c r="Q43">
        <v>18</v>
      </c>
      <c r="R43">
        <v>892</v>
      </c>
      <c r="S43">
        <v>7</v>
      </c>
      <c r="T43">
        <v>95.332064548772493</v>
      </c>
      <c r="U43" t="s">
        <v>76</v>
      </c>
      <c r="V43">
        <v>4.5302262398259602E-2</v>
      </c>
      <c r="W43" t="s">
        <v>90</v>
      </c>
      <c r="X43" t="s">
        <v>96</v>
      </c>
      <c r="Y43">
        <v>275.52437113130901</v>
      </c>
      <c r="Z43" t="b">
        <f>FALSE()</f>
        <v>0</v>
      </c>
      <c r="AA43">
        <v>0.115</v>
      </c>
      <c r="AB43">
        <v>8.69</v>
      </c>
      <c r="AC43">
        <v>-8.6</v>
      </c>
      <c r="AD43">
        <v>0.496</v>
      </c>
    </row>
    <row r="44" spans="1:30" x14ac:dyDescent="0.3">
      <c r="A44" t="s">
        <v>28</v>
      </c>
      <c r="B44" t="s">
        <v>150</v>
      </c>
      <c r="C44">
        <v>46.529167614516702</v>
      </c>
      <c r="D44">
        <v>98</v>
      </c>
      <c r="E44">
        <v>155</v>
      </c>
      <c r="F44" s="26">
        <v>1839.60942585676</v>
      </c>
      <c r="G44" t="s">
        <v>112</v>
      </c>
      <c r="H44">
        <v>22</v>
      </c>
      <c r="I44">
        <v>27</v>
      </c>
      <c r="J44">
        <v>57</v>
      </c>
      <c r="K44">
        <v>4</v>
      </c>
      <c r="L44" t="s">
        <v>84</v>
      </c>
      <c r="M44">
        <v>7.5262483268515004</v>
      </c>
      <c r="N44" t="s">
        <v>55</v>
      </c>
      <c r="O44" t="str">
        <f t="shared" si="0"/>
        <v>bad</v>
      </c>
      <c r="P44" t="s">
        <v>119</v>
      </c>
      <c r="Q44">
        <v>26</v>
      </c>
      <c r="R44">
        <v>179</v>
      </c>
      <c r="S44">
        <v>7</v>
      </c>
      <c r="T44">
        <v>96.422820639571796</v>
      </c>
      <c r="U44" t="s">
        <v>76</v>
      </c>
      <c r="V44">
        <v>4.9392552886209398</v>
      </c>
      <c r="W44" t="s">
        <v>87</v>
      </c>
      <c r="X44" t="s">
        <v>96</v>
      </c>
      <c r="Y44">
        <v>635.65712050199102</v>
      </c>
      <c r="Z44" t="b">
        <f>TRUE()</f>
        <v>1</v>
      </c>
      <c r="AA44">
        <v>0.14199999999999999</v>
      </c>
      <c r="AB44">
        <v>7.05</v>
      </c>
      <c r="AC44">
        <v>-7.1239999999999997</v>
      </c>
      <c r="AD44">
        <v>4.101</v>
      </c>
    </row>
    <row r="45" spans="1:30" x14ac:dyDescent="0.3">
      <c r="A45" t="s">
        <v>29</v>
      </c>
      <c r="B45" t="s">
        <v>151</v>
      </c>
      <c r="C45">
        <v>11.7432717763092</v>
      </c>
      <c r="D45">
        <v>6</v>
      </c>
      <c r="E45">
        <v>598</v>
      </c>
      <c r="F45" s="26">
        <v>5737.4255991190203</v>
      </c>
      <c r="G45" t="s">
        <v>114</v>
      </c>
      <c r="H45">
        <v>36</v>
      </c>
      <c r="I45">
        <v>29</v>
      </c>
      <c r="J45">
        <v>85</v>
      </c>
      <c r="K45">
        <v>9</v>
      </c>
      <c r="L45" t="s">
        <v>88</v>
      </c>
      <c r="M45">
        <v>3.6940212683884499</v>
      </c>
      <c r="N45" t="s">
        <v>55</v>
      </c>
      <c r="O45" t="str">
        <f t="shared" si="0"/>
        <v>avarage</v>
      </c>
      <c r="P45" t="s">
        <v>110</v>
      </c>
      <c r="Q45">
        <v>1</v>
      </c>
      <c r="R45">
        <v>206</v>
      </c>
      <c r="S45">
        <v>23</v>
      </c>
      <c r="T45">
        <v>26.2773659573324</v>
      </c>
      <c r="U45" t="s">
        <v>75</v>
      </c>
      <c r="V45">
        <v>0.37230476798509698</v>
      </c>
      <c r="W45" t="s">
        <v>85</v>
      </c>
      <c r="X45" t="s">
        <v>96</v>
      </c>
      <c r="Y45">
        <v>716.04411975933999</v>
      </c>
      <c r="Z45" t="b">
        <f>TRUE()</f>
        <v>1</v>
      </c>
      <c r="AA45">
        <v>0.06</v>
      </c>
      <c r="AB45">
        <v>16.61</v>
      </c>
      <c r="AC45">
        <v>-1.7390000000000001</v>
      </c>
      <c r="AD45">
        <v>1.1970000000000001</v>
      </c>
    </row>
    <row r="46" spans="1:30" x14ac:dyDescent="0.3">
      <c r="A46" t="s">
        <v>30</v>
      </c>
      <c r="B46" t="s">
        <v>42</v>
      </c>
      <c r="C46">
        <v>51.355790913110297</v>
      </c>
      <c r="D46">
        <v>34</v>
      </c>
      <c r="E46">
        <v>919</v>
      </c>
      <c r="F46" s="26">
        <v>7152.28604943551</v>
      </c>
      <c r="G46" t="s">
        <v>112</v>
      </c>
      <c r="H46">
        <v>13</v>
      </c>
      <c r="I46">
        <v>19</v>
      </c>
      <c r="J46">
        <v>72</v>
      </c>
      <c r="K46">
        <v>6</v>
      </c>
      <c r="L46" t="s">
        <v>84</v>
      </c>
      <c r="M46">
        <v>7.5774496573766896</v>
      </c>
      <c r="N46" t="s">
        <v>53</v>
      </c>
      <c r="O46" t="str">
        <f t="shared" si="0"/>
        <v>avarage</v>
      </c>
      <c r="P46" t="s">
        <v>118</v>
      </c>
      <c r="Q46">
        <v>7</v>
      </c>
      <c r="R46">
        <v>834</v>
      </c>
      <c r="S46">
        <v>18</v>
      </c>
      <c r="T46">
        <v>22.554106620887701</v>
      </c>
      <c r="U46" t="s">
        <v>76</v>
      </c>
      <c r="V46">
        <v>2.9626263204548802</v>
      </c>
      <c r="W46" t="s">
        <v>89</v>
      </c>
      <c r="X46" t="s">
        <v>96</v>
      </c>
      <c r="Y46">
        <v>610.45326961922694</v>
      </c>
      <c r="Z46" t="b">
        <f>TRUE()</f>
        <v>1</v>
      </c>
      <c r="AA46">
        <v>1.4E-2</v>
      </c>
      <c r="AB46">
        <v>70.69</v>
      </c>
      <c r="AC46">
        <v>-1.8979999999999999</v>
      </c>
      <c r="AD46">
        <v>0.66400000000000003</v>
      </c>
    </row>
    <row r="47" spans="1:30" x14ac:dyDescent="0.3">
      <c r="A47" t="s">
        <v>29</v>
      </c>
      <c r="B47" t="s">
        <v>64</v>
      </c>
      <c r="C47">
        <v>33.784138033065503</v>
      </c>
      <c r="D47">
        <v>1</v>
      </c>
      <c r="E47">
        <v>24</v>
      </c>
      <c r="F47" s="26">
        <v>5267.9568075105199</v>
      </c>
      <c r="G47" t="s">
        <v>121</v>
      </c>
      <c r="H47">
        <v>93</v>
      </c>
      <c r="I47">
        <v>7</v>
      </c>
      <c r="J47">
        <v>52</v>
      </c>
      <c r="K47">
        <v>6</v>
      </c>
      <c r="L47" t="s">
        <v>88</v>
      </c>
      <c r="M47">
        <v>5.2151550087119096</v>
      </c>
      <c r="N47" t="s">
        <v>53</v>
      </c>
      <c r="O47" t="str">
        <f t="shared" si="0"/>
        <v>avarage</v>
      </c>
      <c r="P47" t="s">
        <v>123</v>
      </c>
      <c r="Q47">
        <v>25</v>
      </c>
      <c r="R47">
        <v>794</v>
      </c>
      <c r="S47">
        <v>25</v>
      </c>
      <c r="T47">
        <v>66.312544439991598</v>
      </c>
      <c r="U47" t="s">
        <v>77</v>
      </c>
      <c r="V47">
        <v>3.2196046120841002</v>
      </c>
      <c r="W47" t="s">
        <v>89</v>
      </c>
      <c r="X47" t="s">
        <v>96</v>
      </c>
      <c r="Y47">
        <v>495.30569702847299</v>
      </c>
      <c r="Z47" t="b">
        <f>FALSE()</f>
        <v>0</v>
      </c>
      <c r="AA47">
        <v>3.875</v>
      </c>
      <c r="AB47">
        <v>0.26</v>
      </c>
      <c r="AC47">
        <v>0.69799999999999995</v>
      </c>
      <c r="AD47">
        <v>20.638000000000002</v>
      </c>
    </row>
    <row r="48" spans="1:30" x14ac:dyDescent="0.3">
      <c r="A48" t="s">
        <v>29</v>
      </c>
      <c r="B48" t="s">
        <v>65</v>
      </c>
      <c r="C48">
        <v>27.082207199888899</v>
      </c>
      <c r="D48">
        <v>75</v>
      </c>
      <c r="E48">
        <v>859</v>
      </c>
      <c r="F48" s="26">
        <v>2556.7673606335902</v>
      </c>
      <c r="G48" t="s">
        <v>109</v>
      </c>
      <c r="H48">
        <v>92</v>
      </c>
      <c r="I48">
        <v>29</v>
      </c>
      <c r="J48">
        <v>6</v>
      </c>
      <c r="K48">
        <v>8</v>
      </c>
      <c r="L48" t="s">
        <v>88</v>
      </c>
      <c r="M48">
        <v>4.0709558370840799</v>
      </c>
      <c r="N48" t="s">
        <v>51</v>
      </c>
      <c r="O48" t="str">
        <f t="shared" si="0"/>
        <v>bad</v>
      </c>
      <c r="P48" t="s">
        <v>123</v>
      </c>
      <c r="Q48">
        <v>18</v>
      </c>
      <c r="R48">
        <v>870</v>
      </c>
      <c r="S48">
        <v>23</v>
      </c>
      <c r="T48">
        <v>77.322353211051606</v>
      </c>
      <c r="U48" t="s">
        <v>75</v>
      </c>
      <c r="V48">
        <v>3.6486105925361998</v>
      </c>
      <c r="W48" t="s">
        <v>87</v>
      </c>
      <c r="X48" t="s">
        <v>95</v>
      </c>
      <c r="Y48">
        <v>380.43593711196399</v>
      </c>
      <c r="Z48" t="b">
        <f>FALSE()</f>
        <v>0</v>
      </c>
      <c r="AA48">
        <v>0.107</v>
      </c>
      <c r="AB48">
        <v>9.34</v>
      </c>
      <c r="AC48">
        <v>-24.978000000000002</v>
      </c>
      <c r="AD48">
        <v>0.443</v>
      </c>
    </row>
    <row r="49" spans="1:30" x14ac:dyDescent="0.3">
      <c r="A49" t="s">
        <v>28</v>
      </c>
      <c r="B49" t="s">
        <v>152</v>
      </c>
      <c r="C49">
        <v>95.712135880936003</v>
      </c>
      <c r="D49">
        <v>93</v>
      </c>
      <c r="E49">
        <v>910</v>
      </c>
      <c r="F49" s="26">
        <v>7089.4742499341801</v>
      </c>
      <c r="G49" t="s">
        <v>121</v>
      </c>
      <c r="H49">
        <v>4</v>
      </c>
      <c r="I49">
        <v>15</v>
      </c>
      <c r="J49">
        <v>51</v>
      </c>
      <c r="K49">
        <v>9</v>
      </c>
      <c r="L49" t="s">
        <v>88</v>
      </c>
      <c r="M49">
        <v>8.9787507559499709</v>
      </c>
      <c r="N49" t="s">
        <v>58</v>
      </c>
      <c r="O49" t="str">
        <f t="shared" si="0"/>
        <v>avarage</v>
      </c>
      <c r="P49" t="s">
        <v>116</v>
      </c>
      <c r="Q49">
        <v>10</v>
      </c>
      <c r="R49">
        <v>964</v>
      </c>
      <c r="S49">
        <v>20</v>
      </c>
      <c r="T49">
        <v>19.7129929112936</v>
      </c>
      <c r="U49" t="s">
        <v>75</v>
      </c>
      <c r="V49">
        <v>0.38057358671321301</v>
      </c>
      <c r="W49" t="s">
        <v>89</v>
      </c>
      <c r="X49" t="s">
        <v>96</v>
      </c>
      <c r="Y49">
        <v>581.60235505058597</v>
      </c>
      <c r="Z49" t="b">
        <f>TRUE()</f>
        <v>1</v>
      </c>
      <c r="AA49">
        <v>4.0000000000000001E-3</v>
      </c>
      <c r="AB49">
        <v>227.5</v>
      </c>
      <c r="AC49">
        <v>-1.53</v>
      </c>
      <c r="AD49">
        <v>0.63900000000000001</v>
      </c>
    </row>
    <row r="50" spans="1:30" x14ac:dyDescent="0.3">
      <c r="A50" t="s">
        <v>29</v>
      </c>
      <c r="B50" t="s">
        <v>153</v>
      </c>
      <c r="C50">
        <v>76.035544426891704</v>
      </c>
      <c r="D50">
        <v>28</v>
      </c>
      <c r="E50">
        <v>29</v>
      </c>
      <c r="F50" s="26">
        <v>7397.0710045871801</v>
      </c>
      <c r="G50" t="s">
        <v>109</v>
      </c>
      <c r="H50">
        <v>30</v>
      </c>
      <c r="I50">
        <v>16</v>
      </c>
      <c r="J50">
        <v>9</v>
      </c>
      <c r="K50">
        <v>3</v>
      </c>
      <c r="L50" t="s">
        <v>84</v>
      </c>
      <c r="M50">
        <v>7.0958331565551296</v>
      </c>
      <c r="N50" t="s">
        <v>53</v>
      </c>
      <c r="O50" t="str">
        <f t="shared" si="0"/>
        <v>avarage</v>
      </c>
      <c r="P50" t="s">
        <v>110</v>
      </c>
      <c r="Q50">
        <v>9</v>
      </c>
      <c r="R50">
        <v>109</v>
      </c>
      <c r="S50">
        <v>18</v>
      </c>
      <c r="T50">
        <v>23.126363582464698</v>
      </c>
      <c r="U50" t="s">
        <v>76</v>
      </c>
      <c r="V50">
        <v>1.6981125407144</v>
      </c>
      <c r="W50" t="s">
        <v>89</v>
      </c>
      <c r="X50" t="s">
        <v>95</v>
      </c>
      <c r="Y50">
        <v>768.65191395437</v>
      </c>
      <c r="Z50" t="b">
        <f>FALSE()</f>
        <v>0</v>
      </c>
      <c r="AA50">
        <v>1.034</v>
      </c>
      <c r="AB50">
        <v>0.97</v>
      </c>
      <c r="AC50">
        <v>0.90900000000000003</v>
      </c>
      <c r="AD50">
        <v>26.504999999999999</v>
      </c>
    </row>
    <row r="51" spans="1:30" x14ac:dyDescent="0.3">
      <c r="A51" t="s">
        <v>30</v>
      </c>
      <c r="B51" t="s">
        <v>59</v>
      </c>
      <c r="C51">
        <v>78.897913205639995</v>
      </c>
      <c r="D51">
        <v>19</v>
      </c>
      <c r="E51">
        <v>99</v>
      </c>
      <c r="F51" s="26">
        <v>8001.6132065190004</v>
      </c>
      <c r="G51" t="s">
        <v>114</v>
      </c>
      <c r="H51">
        <v>97</v>
      </c>
      <c r="I51">
        <v>24</v>
      </c>
      <c r="J51">
        <v>9</v>
      </c>
      <c r="K51">
        <v>6</v>
      </c>
      <c r="L51" t="s">
        <v>84</v>
      </c>
      <c r="M51">
        <v>2.5056210329009101</v>
      </c>
      <c r="N51" t="s">
        <v>55</v>
      </c>
      <c r="O51" t="str">
        <f t="shared" si="0"/>
        <v>avarage</v>
      </c>
      <c r="P51" t="s">
        <v>118</v>
      </c>
      <c r="Q51">
        <v>28</v>
      </c>
      <c r="R51">
        <v>177</v>
      </c>
      <c r="S51">
        <v>28</v>
      </c>
      <c r="T51">
        <v>14.1478154439792</v>
      </c>
      <c r="U51" t="s">
        <v>77</v>
      </c>
      <c r="V51">
        <v>2.8258139854001301</v>
      </c>
      <c r="W51" t="s">
        <v>89</v>
      </c>
      <c r="X51" t="s">
        <v>96</v>
      </c>
      <c r="Y51">
        <v>336.89016851997701</v>
      </c>
      <c r="Z51" t="b">
        <f>FALSE()</f>
        <v>0</v>
      </c>
      <c r="AA51">
        <v>0.98</v>
      </c>
      <c r="AB51">
        <v>1.02</v>
      </c>
      <c r="AC51">
        <v>0.82499999999999996</v>
      </c>
      <c r="AD51">
        <v>3.403</v>
      </c>
    </row>
    <row r="52" spans="1:30" x14ac:dyDescent="0.3">
      <c r="A52" t="s">
        <v>30</v>
      </c>
      <c r="B52" t="s">
        <v>154</v>
      </c>
      <c r="C52">
        <v>14.203484264803</v>
      </c>
      <c r="D52">
        <v>91</v>
      </c>
      <c r="E52">
        <v>633</v>
      </c>
      <c r="F52" s="26">
        <v>5910.8853896688897</v>
      </c>
      <c r="G52" t="s">
        <v>112</v>
      </c>
      <c r="H52">
        <v>31</v>
      </c>
      <c r="I52">
        <v>23</v>
      </c>
      <c r="J52">
        <v>82</v>
      </c>
      <c r="K52">
        <v>10</v>
      </c>
      <c r="L52" t="s">
        <v>86</v>
      </c>
      <c r="M52">
        <v>6.2478609149759903</v>
      </c>
      <c r="N52" t="s">
        <v>53</v>
      </c>
      <c r="O52" t="str">
        <f t="shared" si="0"/>
        <v>avarage</v>
      </c>
      <c r="P52" t="s">
        <v>118</v>
      </c>
      <c r="Q52">
        <v>20</v>
      </c>
      <c r="R52">
        <v>306</v>
      </c>
      <c r="S52">
        <v>21</v>
      </c>
      <c r="T52">
        <v>45.178757924634503</v>
      </c>
      <c r="U52" t="s">
        <v>76</v>
      </c>
      <c r="V52">
        <v>4.7548008046711798</v>
      </c>
      <c r="W52" t="s">
        <v>89</v>
      </c>
      <c r="X52" t="s">
        <v>95</v>
      </c>
      <c r="Y52">
        <v>496.24865029194001</v>
      </c>
      <c r="Z52" t="b">
        <f>TRUE()</f>
        <v>1</v>
      </c>
      <c r="AA52">
        <v>4.9000000000000002E-2</v>
      </c>
      <c r="AB52">
        <v>20.420000000000002</v>
      </c>
      <c r="AC52">
        <v>-3.8380000000000001</v>
      </c>
      <c r="AD52">
        <v>0.78400000000000003</v>
      </c>
    </row>
    <row r="53" spans="1:30" x14ac:dyDescent="0.3">
      <c r="A53" t="s">
        <v>29</v>
      </c>
      <c r="B53" t="s">
        <v>52</v>
      </c>
      <c r="C53">
        <v>26.700760972461701</v>
      </c>
      <c r="D53">
        <v>61</v>
      </c>
      <c r="E53">
        <v>154</v>
      </c>
      <c r="F53" s="26">
        <v>9866.4654579796897</v>
      </c>
      <c r="G53" t="s">
        <v>121</v>
      </c>
      <c r="H53">
        <v>100</v>
      </c>
      <c r="I53">
        <v>4</v>
      </c>
      <c r="J53">
        <v>52</v>
      </c>
      <c r="K53">
        <v>1</v>
      </c>
      <c r="L53" t="s">
        <v>86</v>
      </c>
      <c r="M53">
        <v>4.78300055794766</v>
      </c>
      <c r="N53" t="s">
        <v>55</v>
      </c>
      <c r="O53" t="str">
        <f t="shared" si="0"/>
        <v>avarage</v>
      </c>
      <c r="P53" t="s">
        <v>119</v>
      </c>
      <c r="Q53">
        <v>18</v>
      </c>
      <c r="R53">
        <v>673</v>
      </c>
      <c r="S53">
        <v>28</v>
      </c>
      <c r="T53">
        <v>14.190328344569901</v>
      </c>
      <c r="U53" t="s">
        <v>75</v>
      </c>
      <c r="V53">
        <v>1.77295117208355</v>
      </c>
      <c r="W53" t="s">
        <v>87</v>
      </c>
      <c r="X53" t="s">
        <v>96</v>
      </c>
      <c r="Y53">
        <v>694.98231757944495</v>
      </c>
      <c r="Z53" t="b">
        <f>FALSE()</f>
        <v>0</v>
      </c>
      <c r="AA53">
        <v>0.64900000000000002</v>
      </c>
      <c r="AB53">
        <v>1.54</v>
      </c>
      <c r="AC53">
        <v>0.77900000000000003</v>
      </c>
      <c r="AD53">
        <v>4.5129999999999999</v>
      </c>
    </row>
    <row r="54" spans="1:30" x14ac:dyDescent="0.3">
      <c r="A54" t="s">
        <v>28</v>
      </c>
      <c r="B54" t="s">
        <v>155</v>
      </c>
      <c r="C54">
        <v>98.031829656465007</v>
      </c>
      <c r="D54">
        <v>1</v>
      </c>
      <c r="E54">
        <v>820</v>
      </c>
      <c r="F54" s="26">
        <v>9435.7626089121295</v>
      </c>
      <c r="G54" t="s">
        <v>121</v>
      </c>
      <c r="H54">
        <v>64</v>
      </c>
      <c r="I54">
        <v>11</v>
      </c>
      <c r="J54">
        <v>11</v>
      </c>
      <c r="K54">
        <v>1</v>
      </c>
      <c r="L54" t="s">
        <v>88</v>
      </c>
      <c r="M54">
        <v>8.6310521797689397</v>
      </c>
      <c r="N54" t="s">
        <v>58</v>
      </c>
      <c r="O54" t="str">
        <f t="shared" si="0"/>
        <v>avarage</v>
      </c>
      <c r="P54" t="s">
        <v>110</v>
      </c>
      <c r="Q54">
        <v>10</v>
      </c>
      <c r="R54">
        <v>727</v>
      </c>
      <c r="S54">
        <v>27</v>
      </c>
      <c r="T54">
        <v>9.1668491485971497</v>
      </c>
      <c r="U54" t="s">
        <v>75</v>
      </c>
      <c r="V54">
        <v>2.1224716191438202</v>
      </c>
      <c r="W54" t="s">
        <v>85</v>
      </c>
      <c r="X54" t="s">
        <v>97</v>
      </c>
      <c r="Y54">
        <v>602.89849883838303</v>
      </c>
      <c r="Z54" t="b">
        <f>FALSE()</f>
        <v>0</v>
      </c>
      <c r="AA54">
        <v>7.8E-2</v>
      </c>
      <c r="AB54">
        <v>12.81</v>
      </c>
      <c r="AC54">
        <v>0.20300000000000001</v>
      </c>
      <c r="AD54">
        <v>0.73499999999999999</v>
      </c>
    </row>
    <row r="55" spans="1:30" x14ac:dyDescent="0.3">
      <c r="A55" t="s">
        <v>28</v>
      </c>
      <c r="B55" t="s">
        <v>60</v>
      </c>
      <c r="C55">
        <v>30.3414707112142</v>
      </c>
      <c r="D55">
        <v>93</v>
      </c>
      <c r="E55">
        <v>242</v>
      </c>
      <c r="F55" s="26">
        <v>8232.3348294258194</v>
      </c>
      <c r="G55" t="s">
        <v>121</v>
      </c>
      <c r="H55">
        <v>96</v>
      </c>
      <c r="I55">
        <v>25</v>
      </c>
      <c r="J55">
        <v>54</v>
      </c>
      <c r="K55">
        <v>3</v>
      </c>
      <c r="L55" t="s">
        <v>88</v>
      </c>
      <c r="M55">
        <v>1.0134865660958901</v>
      </c>
      <c r="N55" t="s">
        <v>58</v>
      </c>
      <c r="O55" t="str">
        <f t="shared" si="0"/>
        <v>avarage</v>
      </c>
      <c r="P55" t="s">
        <v>118</v>
      </c>
      <c r="Q55">
        <v>1</v>
      </c>
      <c r="R55">
        <v>631</v>
      </c>
      <c r="S55">
        <v>17</v>
      </c>
      <c r="T55">
        <v>83.344058991677898</v>
      </c>
      <c r="U55" t="s">
        <v>75</v>
      </c>
      <c r="V55">
        <v>1.41034757607602</v>
      </c>
      <c r="W55" t="s">
        <v>85</v>
      </c>
      <c r="X55" t="s">
        <v>95</v>
      </c>
      <c r="Y55">
        <v>750.73784066827</v>
      </c>
      <c r="Z55" t="b">
        <f>FALSE()</f>
        <v>0</v>
      </c>
      <c r="AA55">
        <v>0.39700000000000002</v>
      </c>
      <c r="AB55">
        <v>2.52</v>
      </c>
      <c r="AC55">
        <v>-1.45</v>
      </c>
      <c r="AD55">
        <v>3.1019999999999999</v>
      </c>
    </row>
    <row r="56" spans="1:30" x14ac:dyDescent="0.3">
      <c r="A56" t="s">
        <v>29</v>
      </c>
      <c r="B56" t="s">
        <v>156</v>
      </c>
      <c r="C56">
        <v>31.1462431602408</v>
      </c>
      <c r="D56">
        <v>11</v>
      </c>
      <c r="E56">
        <v>622</v>
      </c>
      <c r="F56" s="26">
        <v>6088.0214799408504</v>
      </c>
      <c r="G56" t="s">
        <v>109</v>
      </c>
      <c r="H56">
        <v>33</v>
      </c>
      <c r="I56">
        <v>22</v>
      </c>
      <c r="J56">
        <v>61</v>
      </c>
      <c r="K56">
        <v>3</v>
      </c>
      <c r="L56" t="s">
        <v>88</v>
      </c>
      <c r="M56">
        <v>4.3051034712876302</v>
      </c>
      <c r="N56" t="s">
        <v>58</v>
      </c>
      <c r="O56" t="str">
        <f t="shared" si="0"/>
        <v>avarage</v>
      </c>
      <c r="P56" t="s">
        <v>116</v>
      </c>
      <c r="Q56">
        <v>26</v>
      </c>
      <c r="R56">
        <v>497</v>
      </c>
      <c r="S56">
        <v>29</v>
      </c>
      <c r="T56">
        <v>30.186023375822501</v>
      </c>
      <c r="U56" t="s">
        <v>77</v>
      </c>
      <c r="V56">
        <v>2.4787719755397402</v>
      </c>
      <c r="W56" t="s">
        <v>87</v>
      </c>
      <c r="X56" t="s">
        <v>95</v>
      </c>
      <c r="Y56">
        <v>814.06999658218695</v>
      </c>
      <c r="Z56" t="b">
        <f>TRUE()</f>
        <v>1</v>
      </c>
      <c r="AA56">
        <v>5.2999999999999999E-2</v>
      </c>
      <c r="AB56">
        <v>18.850000000000001</v>
      </c>
      <c r="AC56">
        <v>-2.0840000000000001</v>
      </c>
      <c r="AD56">
        <v>1.3089999999999999</v>
      </c>
    </row>
    <row r="57" spans="1:30" x14ac:dyDescent="0.3">
      <c r="A57" t="s">
        <v>29</v>
      </c>
      <c r="B57" t="s">
        <v>57</v>
      </c>
      <c r="C57">
        <v>79.855058340789398</v>
      </c>
      <c r="D57">
        <v>16</v>
      </c>
      <c r="E57">
        <v>701</v>
      </c>
      <c r="F57" s="26">
        <v>2925.6751703038099</v>
      </c>
      <c r="G57" t="s">
        <v>121</v>
      </c>
      <c r="H57">
        <v>97</v>
      </c>
      <c r="I57">
        <v>11</v>
      </c>
      <c r="J57">
        <v>11</v>
      </c>
      <c r="K57">
        <v>5</v>
      </c>
      <c r="L57" t="s">
        <v>86</v>
      </c>
      <c r="M57">
        <v>5.0143649550309002</v>
      </c>
      <c r="N57" t="s">
        <v>53</v>
      </c>
      <c r="O57" t="str">
        <f t="shared" si="0"/>
        <v>bad</v>
      </c>
      <c r="P57" t="s">
        <v>118</v>
      </c>
      <c r="Q57">
        <v>27</v>
      </c>
      <c r="R57">
        <v>918</v>
      </c>
      <c r="S57">
        <v>5</v>
      </c>
      <c r="T57">
        <v>30.323545256616502</v>
      </c>
      <c r="U57" t="s">
        <v>76</v>
      </c>
      <c r="V57">
        <v>4.5489196593963799</v>
      </c>
      <c r="W57" t="s">
        <v>90</v>
      </c>
      <c r="X57" t="s">
        <v>95</v>
      </c>
      <c r="Y57">
        <v>323.01292795247798</v>
      </c>
      <c r="Z57" t="b">
        <f>FALSE()</f>
        <v>0</v>
      </c>
      <c r="AA57">
        <v>0.13800000000000001</v>
      </c>
      <c r="AB57">
        <v>7.23</v>
      </c>
      <c r="AC57">
        <v>-6.266</v>
      </c>
      <c r="AD57">
        <v>0.46100000000000002</v>
      </c>
    </row>
    <row r="58" spans="1:30" x14ac:dyDescent="0.3">
      <c r="A58" t="s">
        <v>28</v>
      </c>
      <c r="B58" t="s">
        <v>157</v>
      </c>
      <c r="C58">
        <v>20.9863860370433</v>
      </c>
      <c r="D58">
        <v>90</v>
      </c>
      <c r="E58">
        <v>93</v>
      </c>
      <c r="F58" s="26">
        <v>4767.0204843441297</v>
      </c>
      <c r="G58" t="s">
        <v>109</v>
      </c>
      <c r="H58">
        <v>25</v>
      </c>
      <c r="I58">
        <v>23</v>
      </c>
      <c r="J58">
        <v>83</v>
      </c>
      <c r="K58">
        <v>5</v>
      </c>
      <c r="L58" t="s">
        <v>84</v>
      </c>
      <c r="M58">
        <v>1.77442971407173</v>
      </c>
      <c r="N58" t="s">
        <v>58</v>
      </c>
      <c r="O58" t="str">
        <f t="shared" si="0"/>
        <v>bad</v>
      </c>
      <c r="P58" t="s">
        <v>110</v>
      </c>
      <c r="Q58">
        <v>24</v>
      </c>
      <c r="R58">
        <v>826</v>
      </c>
      <c r="S58">
        <v>28</v>
      </c>
      <c r="T58">
        <v>12.8362845728327</v>
      </c>
      <c r="U58" t="s">
        <v>77</v>
      </c>
      <c r="V58">
        <v>1.1737554953874501</v>
      </c>
      <c r="W58" t="s">
        <v>85</v>
      </c>
      <c r="X58" t="s">
        <v>95</v>
      </c>
      <c r="Y58">
        <v>832.210808706021</v>
      </c>
      <c r="Z58" t="b">
        <f>TRUE()</f>
        <v>1</v>
      </c>
      <c r="AA58">
        <v>0.26900000000000002</v>
      </c>
      <c r="AB58">
        <v>3.72</v>
      </c>
      <c r="AC58">
        <v>0.75</v>
      </c>
      <c r="AD58">
        <v>8.9489999999999998</v>
      </c>
    </row>
    <row r="59" spans="1:30" x14ac:dyDescent="0.3">
      <c r="A59" t="s">
        <v>29</v>
      </c>
      <c r="B59" t="s">
        <v>158</v>
      </c>
      <c r="C59">
        <v>49.263205350734097</v>
      </c>
      <c r="D59">
        <v>65</v>
      </c>
      <c r="E59">
        <v>227</v>
      </c>
      <c r="F59" s="26">
        <v>1605.8669003924001</v>
      </c>
      <c r="G59" t="s">
        <v>114</v>
      </c>
      <c r="H59">
        <v>5</v>
      </c>
      <c r="I59">
        <v>18</v>
      </c>
      <c r="J59">
        <v>51</v>
      </c>
      <c r="K59">
        <v>1</v>
      </c>
      <c r="L59" t="s">
        <v>88</v>
      </c>
      <c r="M59">
        <v>9.1605585353818704</v>
      </c>
      <c r="N59" t="s">
        <v>53</v>
      </c>
      <c r="O59" t="str">
        <f t="shared" si="0"/>
        <v>bad</v>
      </c>
      <c r="P59" t="s">
        <v>118</v>
      </c>
      <c r="Q59">
        <v>21</v>
      </c>
      <c r="R59">
        <v>588</v>
      </c>
      <c r="S59">
        <v>25</v>
      </c>
      <c r="T59">
        <v>67.779622987078099</v>
      </c>
      <c r="U59" t="s">
        <v>75</v>
      </c>
      <c r="V59">
        <v>2.5111748302126999</v>
      </c>
      <c r="W59" t="s">
        <v>89</v>
      </c>
      <c r="X59" t="s">
        <v>96</v>
      </c>
      <c r="Y59">
        <v>482.19123860252802</v>
      </c>
      <c r="Z59" t="b">
        <f>TRUE()</f>
        <v>1</v>
      </c>
      <c r="AA59">
        <v>2.1999999999999999E-2</v>
      </c>
      <c r="AB59">
        <v>45.4</v>
      </c>
      <c r="AC59">
        <v>-8.5809999999999995</v>
      </c>
      <c r="AD59">
        <v>2.1240000000000001</v>
      </c>
    </row>
    <row r="60" spans="1:30" x14ac:dyDescent="0.3">
      <c r="A60" t="s">
        <v>28</v>
      </c>
      <c r="B60" t="s">
        <v>159</v>
      </c>
      <c r="C60">
        <v>59.841561377289302</v>
      </c>
      <c r="D60">
        <v>81</v>
      </c>
      <c r="E60">
        <v>896</v>
      </c>
      <c r="F60" s="26">
        <v>2021.1498103371</v>
      </c>
      <c r="G60" t="s">
        <v>109</v>
      </c>
      <c r="H60">
        <v>10</v>
      </c>
      <c r="I60">
        <v>5</v>
      </c>
      <c r="J60">
        <v>44</v>
      </c>
      <c r="K60">
        <v>7</v>
      </c>
      <c r="L60" t="s">
        <v>86</v>
      </c>
      <c r="M60">
        <v>4.9384385647120901</v>
      </c>
      <c r="N60" t="s">
        <v>51</v>
      </c>
      <c r="O60" t="str">
        <f t="shared" si="0"/>
        <v>bad</v>
      </c>
      <c r="P60" t="s">
        <v>118</v>
      </c>
      <c r="Q60">
        <v>18</v>
      </c>
      <c r="R60">
        <v>396</v>
      </c>
      <c r="S60">
        <v>7</v>
      </c>
      <c r="T60">
        <v>65.047415094691402</v>
      </c>
      <c r="U60" t="s">
        <v>76</v>
      </c>
      <c r="V60">
        <v>1.7303747198591899</v>
      </c>
      <c r="W60" t="s">
        <v>87</v>
      </c>
      <c r="X60" t="s">
        <v>95</v>
      </c>
      <c r="Y60">
        <v>110.364335231364</v>
      </c>
      <c r="Z60" t="b">
        <f>TRUE()</f>
        <v>1</v>
      </c>
      <c r="AA60">
        <v>1.0999999999999999E-2</v>
      </c>
      <c r="AB60">
        <v>89.6</v>
      </c>
      <c r="AC60">
        <v>-27.835999999999999</v>
      </c>
      <c r="AD60">
        <v>0.123</v>
      </c>
    </row>
    <row r="61" spans="1:30" x14ac:dyDescent="0.3">
      <c r="A61" t="s">
        <v>30</v>
      </c>
      <c r="B61" t="s">
        <v>54</v>
      </c>
      <c r="C61">
        <v>63.828398347710902</v>
      </c>
      <c r="D61">
        <v>30</v>
      </c>
      <c r="E61">
        <v>484</v>
      </c>
      <c r="F61" s="26">
        <v>1061.6185230132801</v>
      </c>
      <c r="G61" t="s">
        <v>109</v>
      </c>
      <c r="H61">
        <v>100</v>
      </c>
      <c r="I61">
        <v>16</v>
      </c>
      <c r="J61">
        <v>26</v>
      </c>
      <c r="K61">
        <v>7</v>
      </c>
      <c r="L61" t="s">
        <v>88</v>
      </c>
      <c r="M61">
        <v>7.2937225968677204</v>
      </c>
      <c r="N61" t="s">
        <v>58</v>
      </c>
      <c r="O61" t="str">
        <f t="shared" si="0"/>
        <v>bad</v>
      </c>
      <c r="P61" t="s">
        <v>116</v>
      </c>
      <c r="Q61">
        <v>11</v>
      </c>
      <c r="R61">
        <v>176</v>
      </c>
      <c r="S61">
        <v>4</v>
      </c>
      <c r="T61">
        <v>1.90076224351945</v>
      </c>
      <c r="U61" t="s">
        <v>76</v>
      </c>
      <c r="V61">
        <v>0.44719401546382298</v>
      </c>
      <c r="W61" t="s">
        <v>85</v>
      </c>
      <c r="X61" t="s">
        <v>96</v>
      </c>
      <c r="Y61">
        <v>312.57427361009297</v>
      </c>
      <c r="Z61" t="b">
        <f>FALSE()</f>
        <v>0</v>
      </c>
      <c r="AA61">
        <v>0.20699999999999999</v>
      </c>
      <c r="AB61">
        <v>4.84</v>
      </c>
      <c r="AC61">
        <v>0.13300000000000001</v>
      </c>
      <c r="AD61">
        <v>0.64600000000000002</v>
      </c>
    </row>
    <row r="62" spans="1:30" x14ac:dyDescent="0.3">
      <c r="A62" t="s">
        <v>28</v>
      </c>
      <c r="B62" t="s">
        <v>160</v>
      </c>
      <c r="C62">
        <v>17.028027920188698</v>
      </c>
      <c r="D62">
        <v>16</v>
      </c>
      <c r="E62">
        <v>380</v>
      </c>
      <c r="F62" s="26">
        <v>8864.0843495864301</v>
      </c>
      <c r="G62" t="s">
        <v>112</v>
      </c>
      <c r="H62">
        <v>41</v>
      </c>
      <c r="I62">
        <v>27</v>
      </c>
      <c r="J62">
        <v>72</v>
      </c>
      <c r="K62">
        <v>8</v>
      </c>
      <c r="L62" t="s">
        <v>84</v>
      </c>
      <c r="M62">
        <v>4.3813681581023101</v>
      </c>
      <c r="N62" t="s">
        <v>56</v>
      </c>
      <c r="O62" t="str">
        <f t="shared" si="0"/>
        <v>avarage</v>
      </c>
      <c r="P62" t="s">
        <v>110</v>
      </c>
      <c r="Q62">
        <v>29</v>
      </c>
      <c r="R62">
        <v>929</v>
      </c>
      <c r="S62">
        <v>24</v>
      </c>
      <c r="T62">
        <v>87.213057815135599</v>
      </c>
      <c r="U62" t="s">
        <v>76</v>
      </c>
      <c r="V62">
        <v>2.8530906166490499</v>
      </c>
      <c r="W62" t="s">
        <v>89</v>
      </c>
      <c r="X62" t="s">
        <v>96</v>
      </c>
      <c r="Y62">
        <v>430.16909697513597</v>
      </c>
      <c r="Z62" t="b">
        <f>TRUE()</f>
        <v>1</v>
      </c>
      <c r="AA62">
        <v>0.108</v>
      </c>
      <c r="AB62">
        <v>9.27</v>
      </c>
      <c r="AC62">
        <v>-2.7389999999999999</v>
      </c>
      <c r="AD62">
        <v>1.1319999999999999</v>
      </c>
    </row>
    <row r="63" spans="1:30" x14ac:dyDescent="0.3">
      <c r="A63" t="s">
        <v>29</v>
      </c>
      <c r="B63" t="s">
        <v>161</v>
      </c>
      <c r="C63">
        <v>52.028749903294901</v>
      </c>
      <c r="D63">
        <v>23</v>
      </c>
      <c r="E63">
        <v>117</v>
      </c>
      <c r="F63" s="26">
        <v>6885.5893508962499</v>
      </c>
      <c r="G63" t="s">
        <v>114</v>
      </c>
      <c r="H63">
        <v>32</v>
      </c>
      <c r="I63">
        <v>23</v>
      </c>
      <c r="J63">
        <v>36</v>
      </c>
      <c r="K63">
        <v>7</v>
      </c>
      <c r="L63" t="s">
        <v>84</v>
      </c>
      <c r="M63">
        <v>9.0303404225219399</v>
      </c>
      <c r="N63" t="s">
        <v>56</v>
      </c>
      <c r="O63" t="str">
        <f t="shared" si="0"/>
        <v>avarage</v>
      </c>
      <c r="P63" t="s">
        <v>116</v>
      </c>
      <c r="Q63">
        <v>14</v>
      </c>
      <c r="R63">
        <v>480</v>
      </c>
      <c r="S63">
        <v>12</v>
      </c>
      <c r="T63">
        <v>78.702393968878894</v>
      </c>
      <c r="U63" t="s">
        <v>76</v>
      </c>
      <c r="V63">
        <v>4.3674705382050503</v>
      </c>
      <c r="W63" t="s">
        <v>85</v>
      </c>
      <c r="X63" t="s">
        <v>96</v>
      </c>
      <c r="Y63">
        <v>164.366528243419</v>
      </c>
      <c r="Z63" t="b">
        <f>TRUE()</f>
        <v>1</v>
      </c>
      <c r="AA63">
        <v>0.27400000000000002</v>
      </c>
      <c r="AB63">
        <v>3.66</v>
      </c>
      <c r="AC63">
        <v>-0.33700000000000002</v>
      </c>
      <c r="AD63">
        <v>1.405</v>
      </c>
    </row>
    <row r="64" spans="1:30" x14ac:dyDescent="0.3">
      <c r="A64" t="s">
        <v>30</v>
      </c>
      <c r="B64" t="s">
        <v>162</v>
      </c>
      <c r="C64">
        <v>72.796353955587307</v>
      </c>
      <c r="D64">
        <v>89</v>
      </c>
      <c r="E64">
        <v>270</v>
      </c>
      <c r="F64" s="26">
        <v>3899.7468337292198</v>
      </c>
      <c r="G64" t="s">
        <v>114</v>
      </c>
      <c r="H64">
        <v>86</v>
      </c>
      <c r="I64">
        <v>2</v>
      </c>
      <c r="J64">
        <v>40</v>
      </c>
      <c r="K64">
        <v>7</v>
      </c>
      <c r="L64" t="s">
        <v>84</v>
      </c>
      <c r="M64">
        <v>7.2917013887767697</v>
      </c>
      <c r="N64" t="s">
        <v>53</v>
      </c>
      <c r="O64" t="str">
        <f t="shared" si="0"/>
        <v>bad</v>
      </c>
      <c r="P64" t="s">
        <v>110</v>
      </c>
      <c r="Q64">
        <v>13</v>
      </c>
      <c r="R64">
        <v>751</v>
      </c>
      <c r="S64">
        <v>14</v>
      </c>
      <c r="T64">
        <v>21.048642725168602</v>
      </c>
      <c r="U64" t="s">
        <v>77</v>
      </c>
      <c r="V64">
        <v>1.87400140404437</v>
      </c>
      <c r="W64" t="s">
        <v>90</v>
      </c>
      <c r="X64" t="s">
        <v>97</v>
      </c>
      <c r="Y64">
        <v>320.84651575911101</v>
      </c>
      <c r="Z64" t="b">
        <f>FALSE()</f>
        <v>0</v>
      </c>
      <c r="AA64">
        <v>0.31900000000000001</v>
      </c>
      <c r="AB64">
        <v>3.14</v>
      </c>
      <c r="AC64">
        <v>-0.45700000000000002</v>
      </c>
      <c r="AD64">
        <v>1.1879999999999999</v>
      </c>
    </row>
    <row r="65" spans="1:30" x14ac:dyDescent="0.3">
      <c r="A65" t="s">
        <v>28</v>
      </c>
      <c r="B65" t="s">
        <v>163</v>
      </c>
      <c r="C65">
        <v>13.0173767852878</v>
      </c>
      <c r="D65">
        <v>55</v>
      </c>
      <c r="E65">
        <v>246</v>
      </c>
      <c r="F65" s="26">
        <v>4256.9491408502199</v>
      </c>
      <c r="G65" t="s">
        <v>109</v>
      </c>
      <c r="H65">
        <v>54</v>
      </c>
      <c r="I65">
        <v>19</v>
      </c>
      <c r="J65">
        <v>10</v>
      </c>
      <c r="K65">
        <v>4</v>
      </c>
      <c r="L65" t="s">
        <v>86</v>
      </c>
      <c r="M65">
        <v>2.45793352798733</v>
      </c>
      <c r="N65" t="s">
        <v>51</v>
      </c>
      <c r="O65" t="str">
        <f t="shared" si="0"/>
        <v>bad</v>
      </c>
      <c r="P65" t="s">
        <v>119</v>
      </c>
      <c r="Q65">
        <v>18</v>
      </c>
      <c r="R65">
        <v>736</v>
      </c>
      <c r="S65">
        <v>10</v>
      </c>
      <c r="T65">
        <v>20.075003975630398</v>
      </c>
      <c r="U65" t="s">
        <v>75</v>
      </c>
      <c r="V65">
        <v>3.6328432903821302</v>
      </c>
      <c r="W65" t="s">
        <v>90</v>
      </c>
      <c r="X65" t="s">
        <v>96</v>
      </c>
      <c r="Y65">
        <v>687.28617786641701</v>
      </c>
      <c r="Z65" t="b">
        <f>FALSE()</f>
        <v>0</v>
      </c>
      <c r="AA65">
        <v>0.22</v>
      </c>
      <c r="AB65">
        <v>4.5599999999999996</v>
      </c>
      <c r="AC65">
        <v>-0.16</v>
      </c>
      <c r="AD65">
        <v>2.794</v>
      </c>
    </row>
    <row r="66" spans="1:30" x14ac:dyDescent="0.3">
      <c r="A66" t="s">
        <v>28</v>
      </c>
      <c r="B66" t="s">
        <v>164</v>
      </c>
      <c r="C66">
        <v>89.634095608135297</v>
      </c>
      <c r="D66">
        <v>11</v>
      </c>
      <c r="E66">
        <v>134</v>
      </c>
      <c r="F66" s="26">
        <v>8458.7308783671706</v>
      </c>
      <c r="G66" t="s">
        <v>112</v>
      </c>
      <c r="H66">
        <v>73</v>
      </c>
      <c r="I66">
        <v>27</v>
      </c>
      <c r="J66">
        <v>75</v>
      </c>
      <c r="K66">
        <v>6</v>
      </c>
      <c r="L66" t="s">
        <v>84</v>
      </c>
      <c r="M66">
        <v>4.5853534681946497</v>
      </c>
      <c r="N66" t="s">
        <v>58</v>
      </c>
      <c r="O66" t="str">
        <f t="shared" si="0"/>
        <v>avarage</v>
      </c>
      <c r="P66" t="s">
        <v>118</v>
      </c>
      <c r="Q66">
        <v>17</v>
      </c>
      <c r="R66">
        <v>328</v>
      </c>
      <c r="S66">
        <v>6</v>
      </c>
      <c r="T66">
        <v>8.6930424258772803</v>
      </c>
      <c r="U66" t="s">
        <v>76</v>
      </c>
      <c r="V66">
        <v>0.15948631471751401</v>
      </c>
      <c r="W66" t="s">
        <v>85</v>
      </c>
      <c r="X66" t="s">
        <v>97</v>
      </c>
      <c r="Y66">
        <v>771.225084681157</v>
      </c>
      <c r="Z66" t="b">
        <f>TRUE()</f>
        <v>1</v>
      </c>
      <c r="AA66">
        <v>0.54500000000000004</v>
      </c>
      <c r="AB66">
        <v>1.84</v>
      </c>
      <c r="AC66">
        <v>0.86199999999999999</v>
      </c>
      <c r="AD66">
        <v>5.7549999999999999</v>
      </c>
    </row>
    <row r="67" spans="1:30" x14ac:dyDescent="0.3">
      <c r="A67" t="s">
        <v>28</v>
      </c>
      <c r="B67" t="s">
        <v>165</v>
      </c>
      <c r="C67">
        <v>33.697717206643098</v>
      </c>
      <c r="D67">
        <v>72</v>
      </c>
      <c r="E67">
        <v>457</v>
      </c>
      <c r="F67" s="26">
        <v>8354.5796864819895</v>
      </c>
      <c r="G67" t="s">
        <v>121</v>
      </c>
      <c r="H67">
        <v>57</v>
      </c>
      <c r="I67">
        <v>24</v>
      </c>
      <c r="J67">
        <v>54</v>
      </c>
      <c r="K67">
        <v>8</v>
      </c>
      <c r="L67" t="s">
        <v>84</v>
      </c>
      <c r="M67">
        <v>6.5805413478845898</v>
      </c>
      <c r="N67" t="s">
        <v>55</v>
      </c>
      <c r="O67" t="str">
        <f t="shared" ref="O67:O101" si="1">_xlfn.IFS(F67&gt;=5000,"avarage",F67&gt;=10000,"good",TRUE,"bad")</f>
        <v>avarage</v>
      </c>
      <c r="P67" t="s">
        <v>116</v>
      </c>
      <c r="Q67">
        <v>16</v>
      </c>
      <c r="R67">
        <v>358</v>
      </c>
      <c r="S67">
        <v>21</v>
      </c>
      <c r="T67">
        <v>1.59722274305067</v>
      </c>
      <c r="U67" t="s">
        <v>76</v>
      </c>
      <c r="V67">
        <v>4.9110959548423301</v>
      </c>
      <c r="W67" t="s">
        <v>89</v>
      </c>
      <c r="X67" t="s">
        <v>97</v>
      </c>
      <c r="Y67">
        <v>555.85910367174301</v>
      </c>
      <c r="Z67" t="b">
        <f>FALSE()</f>
        <v>0</v>
      </c>
      <c r="AA67">
        <v>0.125</v>
      </c>
      <c r="AB67">
        <v>8.02</v>
      </c>
      <c r="AC67">
        <v>0.91300000000000003</v>
      </c>
      <c r="AD67">
        <v>1.216</v>
      </c>
    </row>
    <row r="68" spans="1:30" x14ac:dyDescent="0.3">
      <c r="A68" t="s">
        <v>28</v>
      </c>
      <c r="B68" t="s">
        <v>166</v>
      </c>
      <c r="C68">
        <v>26.034869773962001</v>
      </c>
      <c r="D68">
        <v>52</v>
      </c>
      <c r="E68">
        <v>704</v>
      </c>
      <c r="F68" s="26">
        <v>8367.7216180201503</v>
      </c>
      <c r="G68" t="s">
        <v>112</v>
      </c>
      <c r="H68">
        <v>13</v>
      </c>
      <c r="I68">
        <v>17</v>
      </c>
      <c r="J68">
        <v>19</v>
      </c>
      <c r="K68">
        <v>8</v>
      </c>
      <c r="L68" t="s">
        <v>86</v>
      </c>
      <c r="M68">
        <v>2.2161427287713602</v>
      </c>
      <c r="N68" t="s">
        <v>55</v>
      </c>
      <c r="O68" t="str">
        <f t="shared" si="1"/>
        <v>avarage</v>
      </c>
      <c r="P68" t="s">
        <v>116</v>
      </c>
      <c r="Q68">
        <v>24</v>
      </c>
      <c r="R68">
        <v>867</v>
      </c>
      <c r="S68">
        <v>28</v>
      </c>
      <c r="T68">
        <v>42.084436738309897</v>
      </c>
      <c r="U68" t="s">
        <v>76</v>
      </c>
      <c r="V68">
        <v>3.44806328834026</v>
      </c>
      <c r="W68" t="s">
        <v>87</v>
      </c>
      <c r="X68" t="s">
        <v>96</v>
      </c>
      <c r="Y68">
        <v>393.84334857842703</v>
      </c>
      <c r="Z68" t="b">
        <f>TRUE()</f>
        <v>1</v>
      </c>
      <c r="AA68">
        <v>1.7999999999999999E-2</v>
      </c>
      <c r="AB68">
        <v>54.15</v>
      </c>
      <c r="AC68">
        <v>-2.5409999999999999</v>
      </c>
      <c r="AD68">
        <v>0.55900000000000005</v>
      </c>
    </row>
    <row r="69" spans="1:30" x14ac:dyDescent="0.3">
      <c r="A69" t="s">
        <v>28</v>
      </c>
      <c r="B69" t="s">
        <v>167</v>
      </c>
      <c r="C69">
        <v>87.755432354001002</v>
      </c>
      <c r="D69">
        <v>16</v>
      </c>
      <c r="E69">
        <v>513</v>
      </c>
      <c r="F69" s="26">
        <v>9473.7980325083299</v>
      </c>
      <c r="G69" t="s">
        <v>114</v>
      </c>
      <c r="H69">
        <v>12</v>
      </c>
      <c r="I69">
        <v>9</v>
      </c>
      <c r="J69">
        <v>71</v>
      </c>
      <c r="K69">
        <v>9</v>
      </c>
      <c r="L69" t="s">
        <v>84</v>
      </c>
      <c r="M69">
        <v>9.1478115447106294</v>
      </c>
      <c r="N69" t="s">
        <v>58</v>
      </c>
      <c r="O69" t="str">
        <f t="shared" si="1"/>
        <v>avarage</v>
      </c>
      <c r="P69" t="s">
        <v>110</v>
      </c>
      <c r="Q69">
        <v>10</v>
      </c>
      <c r="R69">
        <v>198</v>
      </c>
      <c r="S69">
        <v>11</v>
      </c>
      <c r="T69">
        <v>7.0578761469782298</v>
      </c>
      <c r="U69" t="s">
        <v>77</v>
      </c>
      <c r="V69">
        <v>0.131955444311814</v>
      </c>
      <c r="W69" t="s">
        <v>90</v>
      </c>
      <c r="X69" t="s">
        <v>97</v>
      </c>
      <c r="Y69">
        <v>169.27180138478599</v>
      </c>
      <c r="Z69" t="b">
        <f>TRUE()</f>
        <v>1</v>
      </c>
      <c r="AA69">
        <v>2.3E-2</v>
      </c>
      <c r="AB69">
        <v>42.75</v>
      </c>
      <c r="AC69">
        <v>0.61799999999999999</v>
      </c>
      <c r="AD69">
        <v>0.33</v>
      </c>
    </row>
    <row r="70" spans="1:30" x14ac:dyDescent="0.3">
      <c r="A70" t="s">
        <v>29</v>
      </c>
      <c r="B70" t="s">
        <v>168</v>
      </c>
      <c r="C70">
        <v>37.931812382790298</v>
      </c>
      <c r="D70">
        <v>29</v>
      </c>
      <c r="E70">
        <v>163</v>
      </c>
      <c r="F70" s="26">
        <v>3550.21843278099</v>
      </c>
      <c r="G70" t="s">
        <v>109</v>
      </c>
      <c r="H70">
        <v>0</v>
      </c>
      <c r="I70">
        <v>8</v>
      </c>
      <c r="J70">
        <v>58</v>
      </c>
      <c r="K70">
        <v>8</v>
      </c>
      <c r="L70" t="s">
        <v>88</v>
      </c>
      <c r="M70">
        <v>1.19425186488499</v>
      </c>
      <c r="N70" t="s">
        <v>53</v>
      </c>
      <c r="O70" t="str">
        <f t="shared" si="1"/>
        <v>bad</v>
      </c>
      <c r="P70" t="s">
        <v>119</v>
      </c>
      <c r="Q70">
        <v>2</v>
      </c>
      <c r="R70">
        <v>375</v>
      </c>
      <c r="S70">
        <v>18</v>
      </c>
      <c r="T70">
        <v>97.113581563462205</v>
      </c>
      <c r="U70" t="s">
        <v>76</v>
      </c>
      <c r="V70">
        <v>1.9834678721741801</v>
      </c>
      <c r="W70" t="s">
        <v>89</v>
      </c>
      <c r="X70" t="s">
        <v>96</v>
      </c>
      <c r="Y70">
        <v>299.70630311810299</v>
      </c>
      <c r="Z70" t="b">
        <f>TRUE()</f>
        <v>1</v>
      </c>
      <c r="AA70">
        <v>0</v>
      </c>
      <c r="AC70">
        <v>-3.4590000000000001</v>
      </c>
      <c r="AD70">
        <v>1.839</v>
      </c>
    </row>
    <row r="71" spans="1:30" x14ac:dyDescent="0.3">
      <c r="A71" t="s">
        <v>28</v>
      </c>
      <c r="B71" t="s">
        <v>62</v>
      </c>
      <c r="C71">
        <v>54.865528517069698</v>
      </c>
      <c r="D71">
        <v>62</v>
      </c>
      <c r="E71">
        <v>511</v>
      </c>
      <c r="F71" s="26">
        <v>1752.3810874841199</v>
      </c>
      <c r="G71" t="s">
        <v>109</v>
      </c>
      <c r="H71">
        <v>95</v>
      </c>
      <c r="I71">
        <v>1</v>
      </c>
      <c r="J71">
        <v>27</v>
      </c>
      <c r="K71">
        <v>3</v>
      </c>
      <c r="L71" t="s">
        <v>88</v>
      </c>
      <c r="M71">
        <v>9.7052867901203399</v>
      </c>
      <c r="N71" t="s">
        <v>56</v>
      </c>
      <c r="O71" t="str">
        <f t="shared" si="1"/>
        <v>bad</v>
      </c>
      <c r="P71" t="s">
        <v>116</v>
      </c>
      <c r="Q71">
        <v>9</v>
      </c>
      <c r="R71">
        <v>862</v>
      </c>
      <c r="S71">
        <v>7</v>
      </c>
      <c r="T71">
        <v>77.627765812748095</v>
      </c>
      <c r="U71" t="s">
        <v>75</v>
      </c>
      <c r="V71">
        <v>1.3623879886490999</v>
      </c>
      <c r="W71" t="s">
        <v>85</v>
      </c>
      <c r="X71" t="s">
        <v>96</v>
      </c>
      <c r="Y71">
        <v>207.66320620857499</v>
      </c>
      <c r="Z71" t="b">
        <f>FALSE()</f>
        <v>0</v>
      </c>
      <c r="AA71">
        <v>0.186</v>
      </c>
      <c r="AB71">
        <v>5.38</v>
      </c>
      <c r="AC71">
        <v>-21.637</v>
      </c>
      <c r="AD71">
        <v>0.40600000000000003</v>
      </c>
    </row>
    <row r="72" spans="1:30" x14ac:dyDescent="0.3">
      <c r="A72" t="s">
        <v>29</v>
      </c>
      <c r="B72" t="s">
        <v>169</v>
      </c>
      <c r="C72">
        <v>47.914541824058702</v>
      </c>
      <c r="D72">
        <v>90</v>
      </c>
      <c r="E72">
        <v>32</v>
      </c>
      <c r="F72" s="26">
        <v>7014.8879872033804</v>
      </c>
      <c r="G72" t="s">
        <v>112</v>
      </c>
      <c r="H72">
        <v>10</v>
      </c>
      <c r="I72">
        <v>12</v>
      </c>
      <c r="J72">
        <v>22</v>
      </c>
      <c r="K72">
        <v>4</v>
      </c>
      <c r="L72" t="s">
        <v>88</v>
      </c>
      <c r="M72">
        <v>6.3157177546007199</v>
      </c>
      <c r="N72" t="s">
        <v>58</v>
      </c>
      <c r="O72" t="str">
        <f t="shared" si="1"/>
        <v>avarage</v>
      </c>
      <c r="P72" t="s">
        <v>119</v>
      </c>
      <c r="Q72">
        <v>22</v>
      </c>
      <c r="R72">
        <v>775</v>
      </c>
      <c r="S72">
        <v>16</v>
      </c>
      <c r="T72">
        <v>11.440781823761199</v>
      </c>
      <c r="U72" t="s">
        <v>77</v>
      </c>
      <c r="V72">
        <v>1.8305755986122301</v>
      </c>
      <c r="W72" t="s">
        <v>87</v>
      </c>
      <c r="X72" t="s">
        <v>97</v>
      </c>
      <c r="Y72">
        <v>183.27289874871099</v>
      </c>
      <c r="Z72" t="b">
        <f>TRUE()</f>
        <v>1</v>
      </c>
      <c r="AA72">
        <v>0.312</v>
      </c>
      <c r="AB72">
        <v>3.2</v>
      </c>
      <c r="AC72">
        <v>0.94799999999999995</v>
      </c>
      <c r="AD72">
        <v>5.7270000000000003</v>
      </c>
    </row>
    <row r="73" spans="1:30" x14ac:dyDescent="0.3">
      <c r="A73" t="s">
        <v>30</v>
      </c>
      <c r="B73" t="s">
        <v>170</v>
      </c>
      <c r="C73">
        <v>6.3815331627479601</v>
      </c>
      <c r="D73">
        <v>14</v>
      </c>
      <c r="E73">
        <v>637</v>
      </c>
      <c r="F73" s="26">
        <v>8180.3370854254399</v>
      </c>
      <c r="G73" t="s">
        <v>112</v>
      </c>
      <c r="H73">
        <v>76</v>
      </c>
      <c r="I73">
        <v>2</v>
      </c>
      <c r="J73">
        <v>26</v>
      </c>
      <c r="K73">
        <v>6</v>
      </c>
      <c r="L73" t="s">
        <v>86</v>
      </c>
      <c r="M73">
        <v>9.2281903170525101</v>
      </c>
      <c r="N73" t="s">
        <v>53</v>
      </c>
      <c r="O73" t="str">
        <f t="shared" si="1"/>
        <v>avarage</v>
      </c>
      <c r="P73" t="s">
        <v>119</v>
      </c>
      <c r="Q73">
        <v>2</v>
      </c>
      <c r="R73">
        <v>258</v>
      </c>
      <c r="S73">
        <v>10</v>
      </c>
      <c r="T73">
        <v>30.661677477859499</v>
      </c>
      <c r="U73" t="s">
        <v>75</v>
      </c>
      <c r="V73">
        <v>2.07875060787496</v>
      </c>
      <c r="W73" t="s">
        <v>87</v>
      </c>
      <c r="X73" t="s">
        <v>96</v>
      </c>
      <c r="Y73">
        <v>405.167067888855</v>
      </c>
      <c r="Z73" t="b">
        <f>FALSE()</f>
        <v>0</v>
      </c>
      <c r="AA73">
        <v>0.11899999999999999</v>
      </c>
      <c r="AB73">
        <v>8.3800000000000008</v>
      </c>
      <c r="AC73">
        <v>-1.3879999999999999</v>
      </c>
      <c r="AD73">
        <v>0.63600000000000001</v>
      </c>
    </row>
    <row r="74" spans="1:30" x14ac:dyDescent="0.3">
      <c r="A74" t="s">
        <v>30</v>
      </c>
      <c r="B74" t="s">
        <v>171</v>
      </c>
      <c r="C74">
        <v>90.204427520528</v>
      </c>
      <c r="D74">
        <v>88</v>
      </c>
      <c r="E74">
        <v>478</v>
      </c>
      <c r="F74" s="26">
        <v>2633.1219813122502</v>
      </c>
      <c r="G74" t="s">
        <v>109</v>
      </c>
      <c r="H74">
        <v>57</v>
      </c>
      <c r="I74">
        <v>29</v>
      </c>
      <c r="J74">
        <v>77</v>
      </c>
      <c r="K74">
        <v>9</v>
      </c>
      <c r="L74" t="s">
        <v>86</v>
      </c>
      <c r="M74">
        <v>6.5996141596895397</v>
      </c>
      <c r="N74" t="s">
        <v>58</v>
      </c>
      <c r="O74" t="str">
        <f t="shared" si="1"/>
        <v>bad</v>
      </c>
      <c r="P74" t="s">
        <v>119</v>
      </c>
      <c r="Q74">
        <v>21</v>
      </c>
      <c r="R74">
        <v>152</v>
      </c>
      <c r="S74">
        <v>11</v>
      </c>
      <c r="T74">
        <v>55.760492895244198</v>
      </c>
      <c r="U74" t="s">
        <v>75</v>
      </c>
      <c r="V74">
        <v>3.2133296074383</v>
      </c>
      <c r="W74" t="s">
        <v>89</v>
      </c>
      <c r="X74" t="s">
        <v>95</v>
      </c>
      <c r="Y74">
        <v>677.94456984618296</v>
      </c>
      <c r="Z74" t="b">
        <f>TRUE()</f>
        <v>1</v>
      </c>
      <c r="AA74">
        <v>0.11899999999999999</v>
      </c>
      <c r="AB74">
        <v>8.39</v>
      </c>
      <c r="AC74">
        <v>-9.1219999999999999</v>
      </c>
      <c r="AD74">
        <v>1.4179999999999999</v>
      </c>
    </row>
    <row r="75" spans="1:30" x14ac:dyDescent="0.3">
      <c r="A75" t="s">
        <v>30</v>
      </c>
      <c r="B75" t="s">
        <v>172</v>
      </c>
      <c r="C75">
        <v>83.851017681304597</v>
      </c>
      <c r="D75">
        <v>41</v>
      </c>
      <c r="E75">
        <v>375</v>
      </c>
      <c r="F75" s="26">
        <v>7910.8869161406801</v>
      </c>
      <c r="G75" t="s">
        <v>121</v>
      </c>
      <c r="H75">
        <v>17</v>
      </c>
      <c r="I75">
        <v>25</v>
      </c>
      <c r="J75">
        <v>66</v>
      </c>
      <c r="K75">
        <v>5</v>
      </c>
      <c r="L75" t="s">
        <v>88</v>
      </c>
      <c r="M75">
        <v>1.5129368369160701</v>
      </c>
      <c r="N75" t="s">
        <v>56</v>
      </c>
      <c r="O75" t="str">
        <f t="shared" si="1"/>
        <v>avarage</v>
      </c>
      <c r="P75" t="s">
        <v>123</v>
      </c>
      <c r="Q75">
        <v>13</v>
      </c>
      <c r="R75">
        <v>444</v>
      </c>
      <c r="S75">
        <v>4</v>
      </c>
      <c r="T75">
        <v>46.870238797617098</v>
      </c>
      <c r="U75" t="s">
        <v>76</v>
      </c>
      <c r="V75">
        <v>4.6205460645137002</v>
      </c>
      <c r="W75" t="s">
        <v>87</v>
      </c>
      <c r="X75" t="s">
        <v>96</v>
      </c>
      <c r="Y75">
        <v>866.472800129657</v>
      </c>
      <c r="Z75" t="b">
        <f>TRUE()</f>
        <v>1</v>
      </c>
      <c r="AA75">
        <v>4.4999999999999998E-2</v>
      </c>
      <c r="AB75">
        <v>22.06</v>
      </c>
      <c r="AC75">
        <v>-1.222</v>
      </c>
      <c r="AD75">
        <v>2.3109999999999999</v>
      </c>
    </row>
    <row r="76" spans="1:30" x14ac:dyDescent="0.3">
      <c r="A76" t="s">
        <v>29</v>
      </c>
      <c r="B76" t="s">
        <v>173</v>
      </c>
      <c r="C76">
        <v>3.1700114135661499</v>
      </c>
      <c r="D76">
        <v>64</v>
      </c>
      <c r="E76">
        <v>904</v>
      </c>
      <c r="F76" s="26">
        <v>5709.9452959692799</v>
      </c>
      <c r="G76" t="s">
        <v>112</v>
      </c>
      <c r="H76">
        <v>41</v>
      </c>
      <c r="I76">
        <v>6</v>
      </c>
      <c r="J76">
        <v>1</v>
      </c>
      <c r="K76">
        <v>5</v>
      </c>
      <c r="L76" t="s">
        <v>86</v>
      </c>
      <c r="M76">
        <v>5.2376546500374399</v>
      </c>
      <c r="N76" t="s">
        <v>56</v>
      </c>
      <c r="O76" t="str">
        <f t="shared" si="1"/>
        <v>avarage</v>
      </c>
      <c r="P76" t="s">
        <v>118</v>
      </c>
      <c r="Q76">
        <v>1</v>
      </c>
      <c r="R76">
        <v>919</v>
      </c>
      <c r="S76">
        <v>9</v>
      </c>
      <c r="T76">
        <v>80.580852156447804</v>
      </c>
      <c r="U76" t="s">
        <v>76</v>
      </c>
      <c r="V76">
        <v>0.39661272410993498</v>
      </c>
      <c r="W76" t="s">
        <v>89</v>
      </c>
      <c r="X76" t="s">
        <v>96</v>
      </c>
      <c r="Y76">
        <v>341.55265678322297</v>
      </c>
      <c r="Z76" t="b">
        <f>FALSE()</f>
        <v>0</v>
      </c>
      <c r="AA76">
        <v>4.4999999999999998E-2</v>
      </c>
      <c r="AB76">
        <v>22.05</v>
      </c>
      <c r="AC76">
        <v>-11.757999999999999</v>
      </c>
      <c r="AD76">
        <v>0.378</v>
      </c>
    </row>
    <row r="77" spans="1:30" x14ac:dyDescent="0.3">
      <c r="A77" t="s">
        <v>28</v>
      </c>
      <c r="B77" t="s">
        <v>174</v>
      </c>
      <c r="C77">
        <v>92.996884233970604</v>
      </c>
      <c r="D77">
        <v>29</v>
      </c>
      <c r="E77">
        <v>106</v>
      </c>
      <c r="F77" s="26">
        <v>1889.07358977933</v>
      </c>
      <c r="G77" t="s">
        <v>109</v>
      </c>
      <c r="H77">
        <v>16</v>
      </c>
      <c r="I77">
        <v>20</v>
      </c>
      <c r="J77">
        <v>56</v>
      </c>
      <c r="K77">
        <v>10</v>
      </c>
      <c r="L77" t="s">
        <v>84</v>
      </c>
      <c r="M77">
        <v>2.47389776104546</v>
      </c>
      <c r="N77" t="s">
        <v>58</v>
      </c>
      <c r="O77" t="str">
        <f t="shared" si="1"/>
        <v>bad</v>
      </c>
      <c r="P77" t="s">
        <v>123</v>
      </c>
      <c r="Q77">
        <v>25</v>
      </c>
      <c r="R77">
        <v>759</v>
      </c>
      <c r="S77">
        <v>11</v>
      </c>
      <c r="T77">
        <v>48.064782640006499</v>
      </c>
      <c r="U77" t="s">
        <v>77</v>
      </c>
      <c r="V77">
        <v>2.0300690886687498</v>
      </c>
      <c r="W77" t="s">
        <v>85</v>
      </c>
      <c r="X77" t="s">
        <v>97</v>
      </c>
      <c r="Y77">
        <v>873.12964801765099</v>
      </c>
      <c r="Z77" t="b">
        <f>TRUE()</f>
        <v>1</v>
      </c>
      <c r="AA77">
        <v>0.151</v>
      </c>
      <c r="AB77">
        <v>6.62</v>
      </c>
      <c r="AC77">
        <v>-1.6970000000000001</v>
      </c>
      <c r="AD77">
        <v>8.2370000000000001</v>
      </c>
    </row>
    <row r="78" spans="1:30" x14ac:dyDescent="0.3">
      <c r="A78" t="s">
        <v>29</v>
      </c>
      <c r="B78" t="s">
        <v>175</v>
      </c>
      <c r="C78">
        <v>69.108799547430294</v>
      </c>
      <c r="D78">
        <v>23</v>
      </c>
      <c r="E78">
        <v>241</v>
      </c>
      <c r="F78" s="26">
        <v>5328.3759842977497</v>
      </c>
      <c r="G78" t="s">
        <v>121</v>
      </c>
      <c r="H78">
        <v>38</v>
      </c>
      <c r="I78">
        <v>1</v>
      </c>
      <c r="J78">
        <v>22</v>
      </c>
      <c r="K78">
        <v>10</v>
      </c>
      <c r="L78" t="s">
        <v>86</v>
      </c>
      <c r="M78">
        <v>7.0545383368369201</v>
      </c>
      <c r="N78" t="s">
        <v>53</v>
      </c>
      <c r="O78" t="str">
        <f t="shared" si="1"/>
        <v>avarage</v>
      </c>
      <c r="P78" t="s">
        <v>119</v>
      </c>
      <c r="Q78">
        <v>25</v>
      </c>
      <c r="R78">
        <v>985</v>
      </c>
      <c r="S78">
        <v>24</v>
      </c>
      <c r="T78">
        <v>64.323597795600193</v>
      </c>
      <c r="U78" t="s">
        <v>75</v>
      </c>
      <c r="V78">
        <v>2.1800374515822099</v>
      </c>
      <c r="W78" t="s">
        <v>89</v>
      </c>
      <c r="X78" t="s">
        <v>96</v>
      </c>
      <c r="Y78">
        <v>997.41345013319403</v>
      </c>
      <c r="Z78" t="b">
        <f>FALSE()</f>
        <v>0</v>
      </c>
      <c r="AA78">
        <v>0.158</v>
      </c>
      <c r="AB78">
        <v>6.34</v>
      </c>
      <c r="AC78">
        <v>-1.909</v>
      </c>
      <c r="AD78">
        <v>4.1390000000000002</v>
      </c>
    </row>
    <row r="79" spans="1:30" x14ac:dyDescent="0.3">
      <c r="A79" t="s">
        <v>29</v>
      </c>
      <c r="B79" t="s">
        <v>61</v>
      </c>
      <c r="C79">
        <v>57.449742958971399</v>
      </c>
      <c r="D79">
        <v>14</v>
      </c>
      <c r="E79">
        <v>359</v>
      </c>
      <c r="F79" s="26">
        <v>2483.7601775427902</v>
      </c>
      <c r="G79" t="s">
        <v>114</v>
      </c>
      <c r="H79">
        <v>96</v>
      </c>
      <c r="I79">
        <v>28</v>
      </c>
      <c r="J79">
        <v>57</v>
      </c>
      <c r="K79">
        <v>4</v>
      </c>
      <c r="L79" t="s">
        <v>88</v>
      </c>
      <c r="M79">
        <v>6.7809466256178901</v>
      </c>
      <c r="N79" t="s">
        <v>58</v>
      </c>
      <c r="O79" t="str">
        <f t="shared" si="1"/>
        <v>bad</v>
      </c>
      <c r="P79" t="s">
        <v>116</v>
      </c>
      <c r="Q79">
        <v>26</v>
      </c>
      <c r="R79">
        <v>334</v>
      </c>
      <c r="S79">
        <v>5</v>
      </c>
      <c r="T79">
        <v>42.952444748991802</v>
      </c>
      <c r="U79" t="s">
        <v>77</v>
      </c>
      <c r="V79">
        <v>3.0551418183075398</v>
      </c>
      <c r="W79" t="s">
        <v>87</v>
      </c>
      <c r="X79" t="s">
        <v>95</v>
      </c>
      <c r="Y79">
        <v>852.56809891984994</v>
      </c>
      <c r="Z79" t="b">
        <f>FALSE()</f>
        <v>0</v>
      </c>
      <c r="AA79">
        <v>0.26700000000000002</v>
      </c>
      <c r="AB79">
        <v>3.74</v>
      </c>
      <c r="AC79">
        <v>-5.2080000000000002</v>
      </c>
      <c r="AD79">
        <v>2.375</v>
      </c>
    </row>
    <row r="80" spans="1:30" x14ac:dyDescent="0.3">
      <c r="A80" t="s">
        <v>29</v>
      </c>
      <c r="B80" t="s">
        <v>40</v>
      </c>
      <c r="C80">
        <v>6.30688317611191</v>
      </c>
      <c r="D80">
        <v>50</v>
      </c>
      <c r="E80">
        <v>946</v>
      </c>
      <c r="F80" s="26">
        <v>1292.45841793775</v>
      </c>
      <c r="G80" t="s">
        <v>114</v>
      </c>
      <c r="H80">
        <v>5</v>
      </c>
      <c r="I80">
        <v>4</v>
      </c>
      <c r="J80">
        <v>51</v>
      </c>
      <c r="K80">
        <v>5</v>
      </c>
      <c r="L80" t="s">
        <v>88</v>
      </c>
      <c r="M80">
        <v>8.4670497708619905</v>
      </c>
      <c r="N80" t="s">
        <v>55</v>
      </c>
      <c r="O80" t="str">
        <f t="shared" si="1"/>
        <v>bad</v>
      </c>
      <c r="P80" t="s">
        <v>110</v>
      </c>
      <c r="Q80">
        <v>25</v>
      </c>
      <c r="R80">
        <v>858</v>
      </c>
      <c r="S80">
        <v>21</v>
      </c>
      <c r="T80">
        <v>71.126514720403307</v>
      </c>
      <c r="U80" t="s">
        <v>75</v>
      </c>
      <c r="V80">
        <v>4.0968813324704501</v>
      </c>
      <c r="W80" t="s">
        <v>90</v>
      </c>
      <c r="X80" t="s">
        <v>97</v>
      </c>
      <c r="Y80">
        <v>323.59220343132199</v>
      </c>
      <c r="Z80" t="b">
        <f>TRUE()</f>
        <v>1</v>
      </c>
      <c r="AA80">
        <v>5.0000000000000001E-3</v>
      </c>
      <c r="AB80">
        <v>189.2</v>
      </c>
      <c r="AC80">
        <v>-51.06</v>
      </c>
      <c r="AD80">
        <v>0.34200000000000003</v>
      </c>
    </row>
    <row r="81" spans="1:30" x14ac:dyDescent="0.3">
      <c r="A81" t="s">
        <v>29</v>
      </c>
      <c r="B81" t="s">
        <v>176</v>
      </c>
      <c r="C81">
        <v>57.057031221103202</v>
      </c>
      <c r="D81">
        <v>56</v>
      </c>
      <c r="E81">
        <v>198</v>
      </c>
      <c r="F81" s="26">
        <v>7888.7232684270803</v>
      </c>
      <c r="G81" t="s">
        <v>109</v>
      </c>
      <c r="H81">
        <v>31</v>
      </c>
      <c r="I81">
        <v>25</v>
      </c>
      <c r="J81">
        <v>20</v>
      </c>
      <c r="K81">
        <v>1</v>
      </c>
      <c r="L81" t="s">
        <v>88</v>
      </c>
      <c r="M81">
        <v>6.49632536429504</v>
      </c>
      <c r="N81" t="s">
        <v>51</v>
      </c>
      <c r="O81" t="str">
        <f t="shared" si="1"/>
        <v>avarage</v>
      </c>
      <c r="P81" t="s">
        <v>119</v>
      </c>
      <c r="Q81">
        <v>5</v>
      </c>
      <c r="R81">
        <v>228</v>
      </c>
      <c r="S81">
        <v>12</v>
      </c>
      <c r="T81">
        <v>57.870902924036201</v>
      </c>
      <c r="U81" t="s">
        <v>75</v>
      </c>
      <c r="V81">
        <v>0.16587162748060799</v>
      </c>
      <c r="W81" t="s">
        <v>85</v>
      </c>
      <c r="X81" t="s">
        <v>97</v>
      </c>
      <c r="Y81">
        <v>351.50421933503799</v>
      </c>
      <c r="Z81" t="b">
        <f>FALSE()</f>
        <v>0</v>
      </c>
      <c r="AA81">
        <v>0.157</v>
      </c>
      <c r="AB81">
        <v>6.39</v>
      </c>
      <c r="AC81">
        <v>-0.45300000000000001</v>
      </c>
      <c r="AD81">
        <v>1.7749999999999999</v>
      </c>
    </row>
    <row r="82" spans="1:30" x14ac:dyDescent="0.3">
      <c r="A82" t="s">
        <v>28</v>
      </c>
      <c r="B82" t="s">
        <v>177</v>
      </c>
      <c r="C82">
        <v>91.128318350444303</v>
      </c>
      <c r="D82">
        <v>75</v>
      </c>
      <c r="E82">
        <v>872</v>
      </c>
      <c r="F82" s="26">
        <v>8651.67268298206</v>
      </c>
      <c r="G82" t="s">
        <v>114</v>
      </c>
      <c r="H82">
        <v>39</v>
      </c>
      <c r="I82">
        <v>14</v>
      </c>
      <c r="J82">
        <v>41</v>
      </c>
      <c r="K82">
        <v>2</v>
      </c>
      <c r="L82" t="s">
        <v>84</v>
      </c>
      <c r="M82">
        <v>2.8331846794189701</v>
      </c>
      <c r="N82" t="s">
        <v>51</v>
      </c>
      <c r="O82" t="str">
        <f t="shared" si="1"/>
        <v>avarage</v>
      </c>
      <c r="P82" t="s">
        <v>123</v>
      </c>
      <c r="Q82">
        <v>8</v>
      </c>
      <c r="R82">
        <v>202</v>
      </c>
      <c r="S82">
        <v>5</v>
      </c>
      <c r="T82">
        <v>76.961228023819999</v>
      </c>
      <c r="U82" t="s">
        <v>76</v>
      </c>
      <c r="V82">
        <v>2.8496621985053299</v>
      </c>
      <c r="W82" t="s">
        <v>90</v>
      </c>
      <c r="X82" t="s">
        <v>95</v>
      </c>
      <c r="Y82">
        <v>787.77985049434403</v>
      </c>
      <c r="Z82" t="b">
        <f>TRUE()</f>
        <v>1</v>
      </c>
      <c r="AA82">
        <v>4.4999999999999998E-2</v>
      </c>
      <c r="AB82">
        <v>22.36</v>
      </c>
      <c r="AC82">
        <v>-6.7569999999999997</v>
      </c>
      <c r="AD82">
        <v>0.90300000000000002</v>
      </c>
    </row>
    <row r="83" spans="1:30" x14ac:dyDescent="0.3">
      <c r="A83" t="s">
        <v>29</v>
      </c>
      <c r="B83" t="s">
        <v>178</v>
      </c>
      <c r="C83">
        <v>72.819206930318202</v>
      </c>
      <c r="D83">
        <v>9</v>
      </c>
      <c r="E83">
        <v>774</v>
      </c>
      <c r="F83" s="26">
        <v>4384.4134000458598</v>
      </c>
      <c r="G83" t="s">
        <v>114</v>
      </c>
      <c r="H83">
        <v>48</v>
      </c>
      <c r="I83">
        <v>6</v>
      </c>
      <c r="J83">
        <v>8</v>
      </c>
      <c r="K83">
        <v>5</v>
      </c>
      <c r="L83" t="s">
        <v>88</v>
      </c>
      <c r="M83">
        <v>4.0662775015120403</v>
      </c>
      <c r="N83" t="s">
        <v>51</v>
      </c>
      <c r="O83" t="str">
        <f t="shared" si="1"/>
        <v>bad</v>
      </c>
      <c r="P83" t="s">
        <v>118</v>
      </c>
      <c r="Q83">
        <v>28</v>
      </c>
      <c r="R83">
        <v>698</v>
      </c>
      <c r="S83">
        <v>1</v>
      </c>
      <c r="T83">
        <v>19.789592941903599</v>
      </c>
      <c r="U83" t="s">
        <v>75</v>
      </c>
      <c r="V83">
        <v>2.54754712154871</v>
      </c>
      <c r="W83" t="s">
        <v>89</v>
      </c>
      <c r="X83" t="s">
        <v>95</v>
      </c>
      <c r="Y83">
        <v>276.77833594679799</v>
      </c>
      <c r="Z83" t="b">
        <f>FALSE()</f>
        <v>0</v>
      </c>
      <c r="AA83">
        <v>6.2E-2</v>
      </c>
      <c r="AB83">
        <v>16.12</v>
      </c>
      <c r="AC83">
        <v>-2.4940000000000002</v>
      </c>
      <c r="AD83">
        <v>0.35799999999999998</v>
      </c>
    </row>
    <row r="84" spans="1:30" x14ac:dyDescent="0.3">
      <c r="A84" t="s">
        <v>28</v>
      </c>
      <c r="B84" t="s">
        <v>179</v>
      </c>
      <c r="C84">
        <v>17.034930739467899</v>
      </c>
      <c r="D84">
        <v>13</v>
      </c>
      <c r="E84">
        <v>336</v>
      </c>
      <c r="F84" s="26">
        <v>2943.3818676094502</v>
      </c>
      <c r="G84" t="s">
        <v>114</v>
      </c>
      <c r="H84">
        <v>42</v>
      </c>
      <c r="I84">
        <v>19</v>
      </c>
      <c r="J84">
        <v>72</v>
      </c>
      <c r="K84">
        <v>1</v>
      </c>
      <c r="L84" t="s">
        <v>86</v>
      </c>
      <c r="M84">
        <v>4.7081818735419301</v>
      </c>
      <c r="N84" t="s">
        <v>53</v>
      </c>
      <c r="O84" t="str">
        <f t="shared" si="1"/>
        <v>bad</v>
      </c>
      <c r="P84" t="s">
        <v>110</v>
      </c>
      <c r="Q84">
        <v>6</v>
      </c>
      <c r="R84">
        <v>955</v>
      </c>
      <c r="S84">
        <v>26</v>
      </c>
      <c r="T84">
        <v>4.4652784349432402</v>
      </c>
      <c r="U84" t="s">
        <v>75</v>
      </c>
      <c r="V84">
        <v>4.1378770486223502</v>
      </c>
      <c r="W84" t="s">
        <v>87</v>
      </c>
      <c r="X84" t="s">
        <v>97</v>
      </c>
      <c r="Y84">
        <v>589.97855562804</v>
      </c>
      <c r="Z84" t="b">
        <f>TRUE()</f>
        <v>1</v>
      </c>
      <c r="AA84">
        <v>0.125</v>
      </c>
      <c r="AB84">
        <v>8</v>
      </c>
      <c r="AC84">
        <v>0.49</v>
      </c>
      <c r="AD84">
        <v>1.756</v>
      </c>
    </row>
    <row r="85" spans="1:30" x14ac:dyDescent="0.3">
      <c r="A85" t="s">
        <v>29</v>
      </c>
      <c r="B85" t="s">
        <v>180</v>
      </c>
      <c r="C85">
        <v>68.911246211606297</v>
      </c>
      <c r="D85">
        <v>82</v>
      </c>
      <c r="E85">
        <v>663</v>
      </c>
      <c r="F85" s="26">
        <v>2411.7546321104901</v>
      </c>
      <c r="G85" t="s">
        <v>114</v>
      </c>
      <c r="H85">
        <v>65</v>
      </c>
      <c r="I85">
        <v>24</v>
      </c>
      <c r="J85">
        <v>7</v>
      </c>
      <c r="K85">
        <v>8</v>
      </c>
      <c r="L85" t="s">
        <v>88</v>
      </c>
      <c r="M85">
        <v>4.94983957799694</v>
      </c>
      <c r="N85" t="s">
        <v>58</v>
      </c>
      <c r="O85" t="str">
        <f t="shared" si="1"/>
        <v>bad</v>
      </c>
      <c r="P85" t="s">
        <v>119</v>
      </c>
      <c r="Q85">
        <v>20</v>
      </c>
      <c r="R85">
        <v>443</v>
      </c>
      <c r="S85">
        <v>5</v>
      </c>
      <c r="T85">
        <v>97.730593800533001</v>
      </c>
      <c r="U85" t="s">
        <v>76</v>
      </c>
      <c r="V85">
        <v>0.77300613406724705</v>
      </c>
      <c r="W85" t="s">
        <v>87</v>
      </c>
      <c r="X85" t="s">
        <v>96</v>
      </c>
      <c r="Y85">
        <v>682.97101822609295</v>
      </c>
      <c r="Z85" t="b">
        <f>FALSE()</f>
        <v>0</v>
      </c>
      <c r="AA85">
        <v>9.8000000000000004E-2</v>
      </c>
      <c r="AB85">
        <v>10.199999999999999</v>
      </c>
      <c r="AC85">
        <v>-25.866</v>
      </c>
      <c r="AD85">
        <v>1.03</v>
      </c>
    </row>
    <row r="86" spans="1:30" x14ac:dyDescent="0.3">
      <c r="A86" t="s">
        <v>29</v>
      </c>
      <c r="B86" t="s">
        <v>181</v>
      </c>
      <c r="C86">
        <v>89.104367292102197</v>
      </c>
      <c r="D86">
        <v>99</v>
      </c>
      <c r="E86">
        <v>618</v>
      </c>
      <c r="F86" s="26">
        <v>2048.2900998487098</v>
      </c>
      <c r="G86" t="s">
        <v>114</v>
      </c>
      <c r="H86">
        <v>73</v>
      </c>
      <c r="I86">
        <v>26</v>
      </c>
      <c r="J86">
        <v>80</v>
      </c>
      <c r="K86">
        <v>10</v>
      </c>
      <c r="L86" t="s">
        <v>86</v>
      </c>
      <c r="M86">
        <v>8.3816156249226292</v>
      </c>
      <c r="N86" t="s">
        <v>55</v>
      </c>
      <c r="O86" t="str">
        <f t="shared" si="1"/>
        <v>bad</v>
      </c>
      <c r="P86" t="s">
        <v>123</v>
      </c>
      <c r="Q86">
        <v>24</v>
      </c>
      <c r="R86">
        <v>589</v>
      </c>
      <c r="S86">
        <v>22</v>
      </c>
      <c r="T86">
        <v>33.808636513209002</v>
      </c>
      <c r="U86" t="s">
        <v>77</v>
      </c>
      <c r="V86">
        <v>4.8434565771180402</v>
      </c>
      <c r="W86" t="s">
        <v>85</v>
      </c>
      <c r="X86" t="s">
        <v>95</v>
      </c>
      <c r="Y86">
        <v>465.45700596368698</v>
      </c>
      <c r="Z86" t="b">
        <f>TRUE()</f>
        <v>1</v>
      </c>
      <c r="AA86">
        <v>0.11799999999999999</v>
      </c>
      <c r="AB86">
        <v>8.4700000000000006</v>
      </c>
      <c r="AC86">
        <v>-9.2010000000000005</v>
      </c>
      <c r="AD86">
        <v>0.753</v>
      </c>
    </row>
    <row r="87" spans="1:30" x14ac:dyDescent="0.3">
      <c r="A87" t="s">
        <v>30</v>
      </c>
      <c r="B87" t="s">
        <v>182</v>
      </c>
      <c r="C87">
        <v>76.962994415193805</v>
      </c>
      <c r="D87">
        <v>83</v>
      </c>
      <c r="E87">
        <v>25</v>
      </c>
      <c r="F87" s="26">
        <v>8684.6130592538502</v>
      </c>
      <c r="G87" t="s">
        <v>112</v>
      </c>
      <c r="H87">
        <v>15</v>
      </c>
      <c r="I87">
        <v>18</v>
      </c>
      <c r="J87">
        <v>66</v>
      </c>
      <c r="K87">
        <v>2</v>
      </c>
      <c r="L87" t="s">
        <v>84</v>
      </c>
      <c r="M87">
        <v>8.2491687048717193</v>
      </c>
      <c r="N87" t="s">
        <v>55</v>
      </c>
      <c r="O87" t="str">
        <f t="shared" si="1"/>
        <v>avarage</v>
      </c>
      <c r="P87" t="s">
        <v>123</v>
      </c>
      <c r="Q87">
        <v>4</v>
      </c>
      <c r="R87">
        <v>211</v>
      </c>
      <c r="S87">
        <v>2</v>
      </c>
      <c r="T87">
        <v>69.929345518672307</v>
      </c>
      <c r="U87" t="s">
        <v>76</v>
      </c>
      <c r="V87">
        <v>1.3744289997457499</v>
      </c>
      <c r="W87" t="s">
        <v>87</v>
      </c>
      <c r="X87" t="s">
        <v>95</v>
      </c>
      <c r="Y87">
        <v>842.68683000464102</v>
      </c>
      <c r="Z87" t="b">
        <f>TRUE()</f>
        <v>1</v>
      </c>
      <c r="AA87">
        <v>0.6</v>
      </c>
      <c r="AB87">
        <v>1.67</v>
      </c>
      <c r="AC87">
        <v>0.79900000000000004</v>
      </c>
      <c r="AD87">
        <v>33.707000000000001</v>
      </c>
    </row>
    <row r="88" spans="1:30" x14ac:dyDescent="0.3">
      <c r="A88" t="s">
        <v>28</v>
      </c>
      <c r="B88" t="s">
        <v>183</v>
      </c>
      <c r="C88">
        <v>19.9981769404042</v>
      </c>
      <c r="D88">
        <v>18</v>
      </c>
      <c r="E88">
        <v>223</v>
      </c>
      <c r="F88" s="26">
        <v>1229.59102856498</v>
      </c>
      <c r="G88" t="s">
        <v>114</v>
      </c>
      <c r="H88">
        <v>32</v>
      </c>
      <c r="I88">
        <v>14</v>
      </c>
      <c r="J88">
        <v>22</v>
      </c>
      <c r="K88">
        <v>6</v>
      </c>
      <c r="L88" t="s">
        <v>88</v>
      </c>
      <c r="M88">
        <v>1.4543053101535499</v>
      </c>
      <c r="N88" t="s">
        <v>58</v>
      </c>
      <c r="O88" t="str">
        <f t="shared" si="1"/>
        <v>bad</v>
      </c>
      <c r="P88" t="s">
        <v>110</v>
      </c>
      <c r="Q88">
        <v>4</v>
      </c>
      <c r="R88">
        <v>569</v>
      </c>
      <c r="S88">
        <v>18</v>
      </c>
      <c r="T88">
        <v>74.608969995194599</v>
      </c>
      <c r="U88" t="s">
        <v>77</v>
      </c>
      <c r="V88">
        <v>2.0515129307662399</v>
      </c>
      <c r="W88" t="s">
        <v>89</v>
      </c>
      <c r="X88" t="s">
        <v>96</v>
      </c>
      <c r="Y88">
        <v>264.25488983586598</v>
      </c>
      <c r="Z88" t="b">
        <f>FALSE()</f>
        <v>0</v>
      </c>
      <c r="AA88">
        <v>0.14299999999999999</v>
      </c>
      <c r="AB88">
        <v>6.97</v>
      </c>
      <c r="AC88">
        <v>-12.531000000000001</v>
      </c>
      <c r="AD88">
        <v>1.1850000000000001</v>
      </c>
    </row>
    <row r="89" spans="1:30" x14ac:dyDescent="0.3">
      <c r="A89" t="s">
        <v>29</v>
      </c>
      <c r="B89" t="s">
        <v>184</v>
      </c>
      <c r="C89">
        <v>80.414036650355698</v>
      </c>
      <c r="D89">
        <v>24</v>
      </c>
      <c r="E89">
        <v>79</v>
      </c>
      <c r="F89" s="26">
        <v>5133.8467010866898</v>
      </c>
      <c r="G89" t="s">
        <v>121</v>
      </c>
      <c r="H89">
        <v>5</v>
      </c>
      <c r="I89">
        <v>7</v>
      </c>
      <c r="J89">
        <v>55</v>
      </c>
      <c r="K89">
        <v>10</v>
      </c>
      <c r="L89" t="s">
        <v>86</v>
      </c>
      <c r="M89">
        <v>6.5758037975485299</v>
      </c>
      <c r="N89" t="s">
        <v>51</v>
      </c>
      <c r="O89" t="str">
        <f t="shared" si="1"/>
        <v>avarage</v>
      </c>
      <c r="P89" t="s">
        <v>123</v>
      </c>
      <c r="Q89">
        <v>27</v>
      </c>
      <c r="R89">
        <v>523</v>
      </c>
      <c r="S89">
        <v>17</v>
      </c>
      <c r="T89">
        <v>28.696996824143099</v>
      </c>
      <c r="U89" t="s">
        <v>76</v>
      </c>
      <c r="V89">
        <v>3.6937377878392699</v>
      </c>
      <c r="W89" t="s">
        <v>90</v>
      </c>
      <c r="X89" t="s">
        <v>95</v>
      </c>
      <c r="Y89">
        <v>879.35921773492396</v>
      </c>
      <c r="Z89" t="b">
        <f>TRUE()</f>
        <v>1</v>
      </c>
      <c r="AA89">
        <v>6.3E-2</v>
      </c>
      <c r="AB89">
        <v>15.8</v>
      </c>
      <c r="AC89">
        <v>0.55800000000000005</v>
      </c>
      <c r="AD89">
        <v>11.131</v>
      </c>
    </row>
    <row r="90" spans="1:30" x14ac:dyDescent="0.3">
      <c r="A90" t="s">
        <v>30</v>
      </c>
      <c r="B90" t="s">
        <v>185</v>
      </c>
      <c r="C90">
        <v>75.270406975724995</v>
      </c>
      <c r="D90">
        <v>58</v>
      </c>
      <c r="E90">
        <v>737</v>
      </c>
      <c r="F90" s="26">
        <v>9444.7420330629793</v>
      </c>
      <c r="G90" t="s">
        <v>121</v>
      </c>
      <c r="H90">
        <v>60</v>
      </c>
      <c r="I90">
        <v>18</v>
      </c>
      <c r="J90">
        <v>85</v>
      </c>
      <c r="K90">
        <v>7</v>
      </c>
      <c r="L90" t="s">
        <v>86</v>
      </c>
      <c r="M90">
        <v>3.8012531329310701</v>
      </c>
      <c r="N90" t="s">
        <v>53</v>
      </c>
      <c r="O90" t="str">
        <f t="shared" si="1"/>
        <v>avarage</v>
      </c>
      <c r="P90" t="s">
        <v>110</v>
      </c>
      <c r="Q90">
        <v>21</v>
      </c>
      <c r="R90">
        <v>953</v>
      </c>
      <c r="S90">
        <v>11</v>
      </c>
      <c r="T90">
        <v>68.1849190570411</v>
      </c>
      <c r="U90" t="s">
        <v>75</v>
      </c>
      <c r="V90">
        <v>0.722204401882931</v>
      </c>
      <c r="W90" t="s">
        <v>90</v>
      </c>
      <c r="X90" t="s">
        <v>96</v>
      </c>
      <c r="Y90">
        <v>103.916247960704</v>
      </c>
      <c r="Z90" t="b">
        <f>TRUE()</f>
        <v>1</v>
      </c>
      <c r="AA90">
        <v>8.1000000000000003E-2</v>
      </c>
      <c r="AB90">
        <v>12.28</v>
      </c>
      <c r="AC90">
        <v>-4.3209999999999997</v>
      </c>
      <c r="AD90">
        <v>0.14099999999999999</v>
      </c>
    </row>
    <row r="91" spans="1:30" x14ac:dyDescent="0.3">
      <c r="A91" t="s">
        <v>30</v>
      </c>
      <c r="B91" t="s">
        <v>67</v>
      </c>
      <c r="C91">
        <v>97.760085581938597</v>
      </c>
      <c r="D91">
        <v>10</v>
      </c>
      <c r="E91">
        <v>134</v>
      </c>
      <c r="F91" s="26">
        <v>5924.6825668532301</v>
      </c>
      <c r="G91" t="s">
        <v>114</v>
      </c>
      <c r="H91">
        <v>90</v>
      </c>
      <c r="I91">
        <v>1</v>
      </c>
      <c r="J91">
        <v>27</v>
      </c>
      <c r="K91">
        <v>8</v>
      </c>
      <c r="L91" t="s">
        <v>88</v>
      </c>
      <c r="M91">
        <v>9.9298162452772498</v>
      </c>
      <c r="N91" t="s">
        <v>58</v>
      </c>
      <c r="O91" t="str">
        <f t="shared" si="1"/>
        <v>avarage</v>
      </c>
      <c r="P91" t="s">
        <v>116</v>
      </c>
      <c r="Q91">
        <v>23</v>
      </c>
      <c r="R91">
        <v>370</v>
      </c>
      <c r="S91">
        <v>11</v>
      </c>
      <c r="T91">
        <v>46.603873381644398</v>
      </c>
      <c r="U91" t="s">
        <v>75</v>
      </c>
      <c r="V91">
        <v>1.9076657339590699</v>
      </c>
      <c r="W91" t="s">
        <v>89</v>
      </c>
      <c r="X91" t="s">
        <v>95</v>
      </c>
      <c r="Y91">
        <v>517.49997392906005</v>
      </c>
      <c r="Z91" t="b">
        <f>FALSE()</f>
        <v>0</v>
      </c>
      <c r="AA91">
        <v>0.67200000000000004</v>
      </c>
      <c r="AB91">
        <v>1.49</v>
      </c>
      <c r="AC91">
        <v>-5.3999999999999999E-2</v>
      </c>
      <c r="AD91">
        <v>3.8620000000000001</v>
      </c>
    </row>
    <row r="92" spans="1:30" x14ac:dyDescent="0.3">
      <c r="A92" t="s">
        <v>28</v>
      </c>
      <c r="B92" t="s">
        <v>186</v>
      </c>
      <c r="C92">
        <v>13.881913501359101</v>
      </c>
      <c r="D92">
        <v>56</v>
      </c>
      <c r="E92">
        <v>320</v>
      </c>
      <c r="F92" s="26">
        <v>9592.6335702803099</v>
      </c>
      <c r="G92" t="s">
        <v>109</v>
      </c>
      <c r="H92">
        <v>66</v>
      </c>
      <c r="I92">
        <v>18</v>
      </c>
      <c r="J92">
        <v>96</v>
      </c>
      <c r="K92">
        <v>7</v>
      </c>
      <c r="L92" t="s">
        <v>88</v>
      </c>
      <c r="M92">
        <v>7.6744307081126903</v>
      </c>
      <c r="N92" t="s">
        <v>51</v>
      </c>
      <c r="O92" t="str">
        <f t="shared" si="1"/>
        <v>avarage</v>
      </c>
      <c r="P92" t="s">
        <v>119</v>
      </c>
      <c r="Q92">
        <v>8</v>
      </c>
      <c r="R92">
        <v>585</v>
      </c>
      <c r="S92">
        <v>8</v>
      </c>
      <c r="T92">
        <v>85.675963335797903</v>
      </c>
      <c r="U92" t="s">
        <v>77</v>
      </c>
      <c r="V92">
        <v>1.2193822244013801</v>
      </c>
      <c r="W92" t="s">
        <v>89</v>
      </c>
      <c r="X92" t="s">
        <v>95</v>
      </c>
      <c r="Y92">
        <v>990.07847250581096</v>
      </c>
      <c r="Z92" t="b">
        <f>TRUE()</f>
        <v>1</v>
      </c>
      <c r="AA92">
        <v>0.20599999999999999</v>
      </c>
      <c r="AB92">
        <v>4.8499999999999996</v>
      </c>
      <c r="AC92">
        <v>-1.8580000000000001</v>
      </c>
      <c r="AD92">
        <v>3.0939999999999999</v>
      </c>
    </row>
    <row r="93" spans="1:30" x14ac:dyDescent="0.3">
      <c r="A93" t="s">
        <v>30</v>
      </c>
      <c r="B93" t="s">
        <v>43</v>
      </c>
      <c r="C93">
        <v>62.111965463961702</v>
      </c>
      <c r="D93">
        <v>90</v>
      </c>
      <c r="E93">
        <v>916</v>
      </c>
      <c r="F93" s="26">
        <v>1935.20679350759</v>
      </c>
      <c r="G93" t="s">
        <v>121</v>
      </c>
      <c r="H93">
        <v>98</v>
      </c>
      <c r="I93">
        <v>22</v>
      </c>
      <c r="J93">
        <v>85</v>
      </c>
      <c r="K93">
        <v>7</v>
      </c>
      <c r="L93" t="s">
        <v>88</v>
      </c>
      <c r="M93">
        <v>7.4715140844011403</v>
      </c>
      <c r="N93" t="s">
        <v>56</v>
      </c>
      <c r="O93" t="str">
        <f t="shared" si="1"/>
        <v>bad</v>
      </c>
      <c r="P93" t="s">
        <v>118</v>
      </c>
      <c r="Q93">
        <v>5</v>
      </c>
      <c r="R93">
        <v>207</v>
      </c>
      <c r="S93">
        <v>28</v>
      </c>
      <c r="T93">
        <v>39.772882502339897</v>
      </c>
      <c r="U93" t="s">
        <v>75</v>
      </c>
      <c r="V93">
        <v>0.62600185820939402</v>
      </c>
      <c r="W93" t="s">
        <v>89</v>
      </c>
      <c r="X93" t="s">
        <v>95</v>
      </c>
      <c r="Y93">
        <v>996.77831495062298</v>
      </c>
      <c r="Z93" t="b">
        <f>FALSE()</f>
        <v>0</v>
      </c>
      <c r="AA93">
        <v>0.107</v>
      </c>
      <c r="AB93">
        <v>9.35</v>
      </c>
      <c r="AC93">
        <v>-17.826000000000001</v>
      </c>
      <c r="AD93">
        <v>1.0880000000000001</v>
      </c>
    </row>
    <row r="94" spans="1:30" x14ac:dyDescent="0.3">
      <c r="A94" t="s">
        <v>30</v>
      </c>
      <c r="B94" t="s">
        <v>66</v>
      </c>
      <c r="C94">
        <v>47.714233075820196</v>
      </c>
      <c r="D94">
        <v>44</v>
      </c>
      <c r="E94">
        <v>276</v>
      </c>
      <c r="F94" s="26">
        <v>2100.1297546259302</v>
      </c>
      <c r="G94" t="s">
        <v>121</v>
      </c>
      <c r="H94">
        <v>90</v>
      </c>
      <c r="I94">
        <v>25</v>
      </c>
      <c r="J94">
        <v>10</v>
      </c>
      <c r="K94">
        <v>8</v>
      </c>
      <c r="L94" t="s">
        <v>88</v>
      </c>
      <c r="M94">
        <v>4.4695000261236002</v>
      </c>
      <c r="N94" t="s">
        <v>53</v>
      </c>
      <c r="O94" t="str">
        <f t="shared" si="1"/>
        <v>bad</v>
      </c>
      <c r="P94" t="s">
        <v>110</v>
      </c>
      <c r="Q94">
        <v>4</v>
      </c>
      <c r="R94">
        <v>671</v>
      </c>
      <c r="S94">
        <v>29</v>
      </c>
      <c r="T94">
        <v>62.612690395614301</v>
      </c>
      <c r="U94" t="s">
        <v>77</v>
      </c>
      <c r="V94">
        <v>0.33343182522473902</v>
      </c>
      <c r="W94" t="s">
        <v>89</v>
      </c>
      <c r="X94" t="s">
        <v>95</v>
      </c>
      <c r="Y94">
        <v>230.092782536762</v>
      </c>
      <c r="Z94" t="b">
        <f>FALSE()</f>
        <v>0</v>
      </c>
      <c r="AA94">
        <v>0.32600000000000001</v>
      </c>
      <c r="AB94">
        <v>3.07</v>
      </c>
      <c r="AC94">
        <v>-7.2290000000000001</v>
      </c>
      <c r="AD94">
        <v>0.83399999999999996</v>
      </c>
    </row>
    <row r="95" spans="1:30" x14ac:dyDescent="0.3">
      <c r="A95" t="s">
        <v>29</v>
      </c>
      <c r="B95" t="s">
        <v>187</v>
      </c>
      <c r="C95">
        <v>69.290831002905406</v>
      </c>
      <c r="D95">
        <v>88</v>
      </c>
      <c r="E95">
        <v>114</v>
      </c>
      <c r="F95" s="26">
        <v>4531.4021336919004</v>
      </c>
      <c r="G95" t="s">
        <v>114</v>
      </c>
      <c r="H95">
        <v>63</v>
      </c>
      <c r="I95">
        <v>17</v>
      </c>
      <c r="J95">
        <v>66</v>
      </c>
      <c r="K95">
        <v>1</v>
      </c>
      <c r="L95" t="s">
        <v>84</v>
      </c>
      <c r="M95">
        <v>7.00643205900439</v>
      </c>
      <c r="N95" t="s">
        <v>56</v>
      </c>
      <c r="O95" t="str">
        <f t="shared" si="1"/>
        <v>bad</v>
      </c>
      <c r="P95" t="s">
        <v>123</v>
      </c>
      <c r="Q95">
        <v>21</v>
      </c>
      <c r="R95">
        <v>824</v>
      </c>
      <c r="S95">
        <v>20</v>
      </c>
      <c r="T95">
        <v>35.633652343343797</v>
      </c>
      <c r="U95" t="s">
        <v>76</v>
      </c>
      <c r="V95">
        <v>4.1657817954241398</v>
      </c>
      <c r="W95" t="s">
        <v>85</v>
      </c>
      <c r="X95" t="s">
        <v>96</v>
      </c>
      <c r="Y95">
        <v>823.52384588815505</v>
      </c>
      <c r="Z95" t="b">
        <f>TRUE()</f>
        <v>1</v>
      </c>
      <c r="AA95">
        <v>0.55300000000000005</v>
      </c>
      <c r="AB95">
        <v>1.81</v>
      </c>
      <c r="AC95">
        <v>0.104</v>
      </c>
      <c r="AD95">
        <v>7.2240000000000002</v>
      </c>
    </row>
    <row r="96" spans="1:30" x14ac:dyDescent="0.3">
      <c r="A96" t="s">
        <v>30</v>
      </c>
      <c r="B96" t="s">
        <v>35</v>
      </c>
      <c r="C96">
        <v>3.0376887246314102</v>
      </c>
      <c r="D96">
        <v>97</v>
      </c>
      <c r="E96">
        <v>987</v>
      </c>
      <c r="F96" s="26">
        <v>7888.3565466618702</v>
      </c>
      <c r="G96" t="s">
        <v>114</v>
      </c>
      <c r="H96">
        <v>77</v>
      </c>
      <c r="I96">
        <v>26</v>
      </c>
      <c r="J96">
        <v>72</v>
      </c>
      <c r="K96">
        <v>9</v>
      </c>
      <c r="L96" t="s">
        <v>88</v>
      </c>
      <c r="M96">
        <v>6.9429459420325799</v>
      </c>
      <c r="N96" t="s">
        <v>53</v>
      </c>
      <c r="O96" t="str">
        <f t="shared" si="1"/>
        <v>avarage</v>
      </c>
      <c r="P96" t="s">
        <v>118</v>
      </c>
      <c r="Q96">
        <v>12</v>
      </c>
      <c r="R96">
        <v>908</v>
      </c>
      <c r="S96">
        <v>14</v>
      </c>
      <c r="T96">
        <v>60.387378614862101</v>
      </c>
      <c r="U96" t="s">
        <v>77</v>
      </c>
      <c r="V96">
        <v>1.4636074984727701</v>
      </c>
      <c r="W96" t="s">
        <v>89</v>
      </c>
      <c r="X96" t="s">
        <v>95</v>
      </c>
      <c r="Y96">
        <v>846.66525698669398</v>
      </c>
      <c r="Z96" t="b">
        <f>FALSE()</f>
        <v>0</v>
      </c>
      <c r="AA96">
        <v>7.8E-2</v>
      </c>
      <c r="AB96">
        <v>12.82</v>
      </c>
      <c r="AC96">
        <v>-6.556</v>
      </c>
      <c r="AD96">
        <v>0.85799999999999998</v>
      </c>
    </row>
    <row r="97" spans="1:30" x14ac:dyDescent="0.3">
      <c r="A97" t="s">
        <v>29</v>
      </c>
      <c r="B97" t="s">
        <v>188</v>
      </c>
      <c r="C97">
        <v>77.903927219447695</v>
      </c>
      <c r="D97">
        <v>65</v>
      </c>
      <c r="E97">
        <v>672</v>
      </c>
      <c r="F97" s="26">
        <v>7386.3639440486604</v>
      </c>
      <c r="G97" t="s">
        <v>114</v>
      </c>
      <c r="H97">
        <v>15</v>
      </c>
      <c r="I97">
        <v>14</v>
      </c>
      <c r="J97">
        <v>26</v>
      </c>
      <c r="K97">
        <v>9</v>
      </c>
      <c r="L97" t="s">
        <v>88</v>
      </c>
      <c r="M97">
        <v>8.6303388696027508</v>
      </c>
      <c r="N97" t="s">
        <v>56</v>
      </c>
      <c r="O97" t="str">
        <f t="shared" si="1"/>
        <v>avarage</v>
      </c>
      <c r="P97" t="s">
        <v>110</v>
      </c>
      <c r="Q97">
        <v>18</v>
      </c>
      <c r="R97">
        <v>450</v>
      </c>
      <c r="S97">
        <v>26</v>
      </c>
      <c r="T97">
        <v>58.890685768589897</v>
      </c>
      <c r="U97" t="s">
        <v>75</v>
      </c>
      <c r="V97">
        <v>1.21088212958506</v>
      </c>
      <c r="W97" t="s">
        <v>85</v>
      </c>
      <c r="X97" t="s">
        <v>96</v>
      </c>
      <c r="Y97">
        <v>778.86424137664699</v>
      </c>
      <c r="Z97" t="b">
        <f>TRUE()</f>
        <v>1</v>
      </c>
      <c r="AA97">
        <v>2.1999999999999999E-2</v>
      </c>
      <c r="AB97">
        <v>44.8</v>
      </c>
      <c r="AC97">
        <v>-4.3579999999999997</v>
      </c>
      <c r="AD97">
        <v>1.159</v>
      </c>
    </row>
    <row r="98" spans="1:30" x14ac:dyDescent="0.3">
      <c r="A98" t="s">
        <v>30</v>
      </c>
      <c r="B98" t="s">
        <v>189</v>
      </c>
      <c r="C98">
        <v>24.423131420373299</v>
      </c>
      <c r="D98">
        <v>29</v>
      </c>
      <c r="E98">
        <v>324</v>
      </c>
      <c r="F98" s="26">
        <v>7698.4247656321104</v>
      </c>
      <c r="G98" t="s">
        <v>109</v>
      </c>
      <c r="H98">
        <v>67</v>
      </c>
      <c r="I98">
        <v>2</v>
      </c>
      <c r="J98">
        <v>32</v>
      </c>
      <c r="K98">
        <v>3</v>
      </c>
      <c r="L98" t="s">
        <v>84</v>
      </c>
      <c r="M98">
        <v>5.3528780439967996</v>
      </c>
      <c r="N98" t="s">
        <v>51</v>
      </c>
      <c r="O98" t="str">
        <f t="shared" si="1"/>
        <v>avarage</v>
      </c>
      <c r="P98" t="s">
        <v>110</v>
      </c>
      <c r="Q98">
        <v>28</v>
      </c>
      <c r="R98">
        <v>648</v>
      </c>
      <c r="S98">
        <v>28</v>
      </c>
      <c r="T98">
        <v>17.803756331391199</v>
      </c>
      <c r="U98" t="s">
        <v>75</v>
      </c>
      <c r="V98">
        <v>3.8720476814821301</v>
      </c>
      <c r="W98" t="s">
        <v>87</v>
      </c>
      <c r="X98" t="s">
        <v>96</v>
      </c>
      <c r="Y98">
        <v>188.74214114905601</v>
      </c>
      <c r="Z98" t="b">
        <f>FALSE()</f>
        <v>0</v>
      </c>
      <c r="AA98">
        <v>0.20699999999999999</v>
      </c>
      <c r="AB98">
        <v>4.84</v>
      </c>
      <c r="AC98">
        <v>0.251</v>
      </c>
      <c r="AD98">
        <v>0.58299999999999996</v>
      </c>
    </row>
    <row r="99" spans="1:30" x14ac:dyDescent="0.3">
      <c r="A99" t="s">
        <v>29</v>
      </c>
      <c r="B99" t="s">
        <v>190</v>
      </c>
      <c r="C99">
        <v>3.5261112591434101</v>
      </c>
      <c r="D99">
        <v>56</v>
      </c>
      <c r="E99">
        <v>62</v>
      </c>
      <c r="F99" s="26">
        <v>4370.9165799845296</v>
      </c>
      <c r="G99" t="s">
        <v>121</v>
      </c>
      <c r="H99">
        <v>46</v>
      </c>
      <c r="I99">
        <v>19</v>
      </c>
      <c r="J99">
        <v>4</v>
      </c>
      <c r="K99">
        <v>9</v>
      </c>
      <c r="L99" t="s">
        <v>86</v>
      </c>
      <c r="M99">
        <v>7.9048456112096703</v>
      </c>
      <c r="N99" t="s">
        <v>56</v>
      </c>
      <c r="O99" t="str">
        <f t="shared" si="1"/>
        <v>bad</v>
      </c>
      <c r="P99" t="s">
        <v>110</v>
      </c>
      <c r="Q99">
        <v>10</v>
      </c>
      <c r="R99">
        <v>535</v>
      </c>
      <c r="S99">
        <v>13</v>
      </c>
      <c r="T99">
        <v>65.765155926367399</v>
      </c>
      <c r="U99" t="s">
        <v>76</v>
      </c>
      <c r="V99">
        <v>3.3762378347179798</v>
      </c>
      <c r="W99" t="s">
        <v>87</v>
      </c>
      <c r="X99" t="s">
        <v>96</v>
      </c>
      <c r="Y99">
        <v>540.13242286796697</v>
      </c>
      <c r="Z99" t="b">
        <f>FALSE()</f>
        <v>0</v>
      </c>
      <c r="AA99">
        <v>0.74199999999999999</v>
      </c>
      <c r="AB99">
        <v>1.35</v>
      </c>
      <c r="AC99">
        <v>6.7000000000000004E-2</v>
      </c>
      <c r="AD99">
        <v>8.7119999999999997</v>
      </c>
    </row>
    <row r="100" spans="1:30" x14ac:dyDescent="0.3">
      <c r="A100" t="s">
        <v>28</v>
      </c>
      <c r="B100" t="s">
        <v>191</v>
      </c>
      <c r="C100">
        <v>19.754604866878601</v>
      </c>
      <c r="D100">
        <v>43</v>
      </c>
      <c r="E100">
        <v>913</v>
      </c>
      <c r="F100" s="26">
        <v>8525.9525596835192</v>
      </c>
      <c r="G100" t="s">
        <v>112</v>
      </c>
      <c r="H100">
        <v>53</v>
      </c>
      <c r="I100">
        <v>1</v>
      </c>
      <c r="J100">
        <v>27</v>
      </c>
      <c r="K100">
        <v>7</v>
      </c>
      <c r="L100" t="s">
        <v>88</v>
      </c>
      <c r="M100">
        <v>1.4098010951380699</v>
      </c>
      <c r="N100" t="s">
        <v>55</v>
      </c>
      <c r="O100" t="str">
        <f t="shared" si="1"/>
        <v>avarage</v>
      </c>
      <c r="P100" t="s">
        <v>123</v>
      </c>
      <c r="Q100">
        <v>28</v>
      </c>
      <c r="R100">
        <v>581</v>
      </c>
      <c r="S100">
        <v>9</v>
      </c>
      <c r="T100">
        <v>5.6046908643717801</v>
      </c>
      <c r="U100" t="s">
        <v>75</v>
      </c>
      <c r="V100">
        <v>2.9081221693512598</v>
      </c>
      <c r="W100" t="s">
        <v>89</v>
      </c>
      <c r="X100" t="s">
        <v>96</v>
      </c>
      <c r="Y100">
        <v>882.19886354704101</v>
      </c>
      <c r="Z100" t="b">
        <f>FALSE()</f>
        <v>0</v>
      </c>
      <c r="AA100">
        <v>5.8000000000000003E-2</v>
      </c>
      <c r="AB100">
        <v>17.23</v>
      </c>
      <c r="AC100">
        <v>0.4</v>
      </c>
      <c r="AD100">
        <v>0.96599999999999997</v>
      </c>
    </row>
    <row r="101" spans="1:30" x14ac:dyDescent="0.3">
      <c r="A101" t="s">
        <v>29</v>
      </c>
      <c r="B101" t="s">
        <v>192</v>
      </c>
      <c r="C101">
        <v>68.517832699276596</v>
      </c>
      <c r="D101">
        <v>17</v>
      </c>
      <c r="E101">
        <v>627</v>
      </c>
      <c r="F101" s="26">
        <v>9185.1858291817007</v>
      </c>
      <c r="G101" t="s">
        <v>114</v>
      </c>
      <c r="H101">
        <v>55</v>
      </c>
      <c r="I101">
        <v>8</v>
      </c>
      <c r="J101">
        <v>59</v>
      </c>
      <c r="K101">
        <v>6</v>
      </c>
      <c r="L101" t="s">
        <v>88</v>
      </c>
      <c r="M101">
        <v>1.3110237561206199</v>
      </c>
      <c r="N101" t="s">
        <v>53</v>
      </c>
      <c r="O101" t="str">
        <f t="shared" si="1"/>
        <v>avarage</v>
      </c>
      <c r="P101" t="s">
        <v>123</v>
      </c>
      <c r="Q101">
        <v>29</v>
      </c>
      <c r="R101">
        <v>921</v>
      </c>
      <c r="S101">
        <v>2</v>
      </c>
      <c r="T101">
        <v>38.072898520625998</v>
      </c>
      <c r="U101" t="s">
        <v>76</v>
      </c>
      <c r="V101">
        <v>0.34602729070550298</v>
      </c>
      <c r="W101" t="s">
        <v>89</v>
      </c>
      <c r="X101" t="s">
        <v>95</v>
      </c>
      <c r="Y101">
        <v>210.743008964246</v>
      </c>
      <c r="Z101" t="b">
        <f>TRUE()</f>
        <v>1</v>
      </c>
      <c r="AA101">
        <v>8.7999999999999995E-2</v>
      </c>
      <c r="AB101">
        <v>11.4</v>
      </c>
      <c r="AC101">
        <v>-1.599</v>
      </c>
      <c r="AD101">
        <v>0.33600000000000002</v>
      </c>
    </row>
  </sheetData>
  <autoFilter ref="A1:AD101" xr:uid="{00000000-0001-0000-05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1_Executive_Overview</vt:lpstr>
      <vt:lpstr>2_Product_Performance</vt:lpstr>
      <vt:lpstr>3_Inventory_Supplier</vt:lpstr>
      <vt:lpstr>4_Manufacturing_Quality</vt:lpstr>
      <vt:lpstr>5_Logistics_Transportation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durga reddie ejjapuram</cp:lastModifiedBy>
  <cp:revision>1</cp:revision>
  <dcterms:created xsi:type="dcterms:W3CDTF">2026-09-02T14:18:12Z</dcterms:created>
  <dcterms:modified xsi:type="dcterms:W3CDTF">2026-09-08T08:48:43Z</dcterms:modified>
  <dc:language>en-US</dc:language>
</cp:coreProperties>
</file>